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terntkoroglu\Desktop\Dersler\"/>
    </mc:Choice>
  </mc:AlternateContent>
  <bookViews>
    <workbookView xWindow="0" yWindow="0" windowWidth="19200" windowHeight="7050" tabRatio="829" activeTab="5"/>
  </bookViews>
  <sheets>
    <sheet name="input" sheetId="1" r:id="rId1"/>
    <sheet name="asistan" sheetId="6" r:id="rId2"/>
    <sheet name="course_table" sheetId="11" r:id="rId3"/>
    <sheet name="assistant_table" sheetId="12" r:id="rId4"/>
    <sheet name="classroom_table" sheetId="13" r:id="rId5"/>
    <sheet name="same_time_course_table" sheetId="14" r:id="rId6"/>
  </sheets>
  <definedNames>
    <definedName name="_xlnm._FilterDatabase" localSheetId="0" hidden="1">input!#REF!</definedName>
    <definedName name="A102." localSheetId="1">#REF!</definedName>
    <definedName name="A102.badindex" localSheetId="1" hidden="1">1</definedName>
    <definedName name="A102.columnindex" localSheetId="1" hidden="1">#REF!</definedName>
    <definedName name="A102.columnindex.dirn" localSheetId="1" hidden="1">"column"</definedName>
    <definedName name="A102.firstindex" localSheetId="1" hidden="1">"row"</definedName>
    <definedName name="A102.rowindex" localSheetId="1" hidden="1">#REF!</definedName>
    <definedName name="A102.rowindex.dirn" localSheetId="1" hidden="1">"row"</definedName>
    <definedName name="A102DAYS" localSheetId="0">#REF!</definedName>
    <definedName name="A102DAYS.dirn" localSheetId="0" hidden="1">"column"</definedName>
    <definedName name="A102TABLE" localSheetId="0">#REF!</definedName>
    <definedName name="A102TABLE.badindex" localSheetId="0" hidden="1">1</definedName>
    <definedName name="A102TABLE.columnindex" localSheetId="0" hidden="1">#REF!</definedName>
    <definedName name="A102TABLE.columnindex.dirn" localSheetId="0" hidden="1">"column"</definedName>
    <definedName name="A102TABLE.firstindex" localSheetId="0" hidden="1">"column"</definedName>
    <definedName name="A102TABLE.rowindex" localSheetId="0" hidden="1">#REF!</definedName>
    <definedName name="A102TABLE.rowindex.dirn" localSheetId="0" hidden="1">"row"</definedName>
    <definedName name="A102TIMEINTERVAL" localSheetId="0">#REF!</definedName>
    <definedName name="A102TIMEINTERVAL.dirn" localSheetId="0" hidden="1">"row"</definedName>
    <definedName name="A103." localSheetId="1">#REF!</definedName>
    <definedName name="A103.badindex" localSheetId="1" hidden="1">1</definedName>
    <definedName name="A103.columnindex" localSheetId="1" hidden="1">#REF!</definedName>
    <definedName name="A103.columnindex.dirn" localSheetId="1" hidden="1">"column"</definedName>
    <definedName name="A103.firstindex" localSheetId="1" hidden="1">"row"</definedName>
    <definedName name="A103.rowindex" localSheetId="1" hidden="1">#REF!</definedName>
    <definedName name="A103.rowindex.dirn" localSheetId="1" hidden="1">"row"</definedName>
    <definedName name="A103DAYS" localSheetId="0">#REF!</definedName>
    <definedName name="A103DAYS.dirn" localSheetId="0" hidden="1">"column"</definedName>
    <definedName name="A103TABLE" localSheetId="0">#REF!</definedName>
    <definedName name="A103TABLE.badindex" localSheetId="0" hidden="1">1</definedName>
    <definedName name="A103TABLE.columnindex" localSheetId="0" hidden="1">#REF!</definedName>
    <definedName name="A103TABLE.columnindex.dirn" localSheetId="0" hidden="1">"column"</definedName>
    <definedName name="A103TABLE.firstindex" localSheetId="0" hidden="1">"column"</definedName>
    <definedName name="A103TABLE.rowindex" localSheetId="0" hidden="1">#REF!</definedName>
    <definedName name="A103TABLE.rowindex.dirn" localSheetId="0" hidden="1">"row"</definedName>
    <definedName name="A103TIMEINTERVAL" localSheetId="0">#REF!</definedName>
    <definedName name="A103TIMEINTERVAL.dirn" localSheetId="0" hidden="1">"row"</definedName>
    <definedName name="A104." localSheetId="1">#REF!</definedName>
    <definedName name="A104.badindex" localSheetId="1" hidden="1">1</definedName>
    <definedName name="A104.columnindex" localSheetId="1" hidden="1">#REF!</definedName>
    <definedName name="A104.columnindex.dirn" localSheetId="1" hidden="1">"column"</definedName>
    <definedName name="A104.firstindex" localSheetId="1" hidden="1">"row"</definedName>
    <definedName name="A104.rowindex" localSheetId="1" hidden="1">#REF!</definedName>
    <definedName name="A104.rowindex.dirn" localSheetId="1" hidden="1">"row"</definedName>
    <definedName name="A104DAYS" localSheetId="0">#REF!</definedName>
    <definedName name="A104DAYS.dirn" localSheetId="0" hidden="1">"column"</definedName>
    <definedName name="A104TABLE" localSheetId="0">#REF!</definedName>
    <definedName name="A104TABLE.badindex" localSheetId="0" hidden="1">1</definedName>
    <definedName name="A104TABLE.columnindex" localSheetId="0" hidden="1">#REF!</definedName>
    <definedName name="A104TABLE.columnindex.dirn" localSheetId="0" hidden="1">"column"</definedName>
    <definedName name="A104TABLE.firstindex" localSheetId="0" hidden="1">"column"</definedName>
    <definedName name="A104TABLE.rowindex" localSheetId="0" hidden="1">#REF!</definedName>
    <definedName name="A104TABLE.rowindex.dirn" localSheetId="0" hidden="1">"row"</definedName>
    <definedName name="A104TIMEINTERVAL" localSheetId="0">#REF!</definedName>
    <definedName name="A104TIMEINTERVAL.dirn" localSheetId="0" hidden="1">"row"</definedName>
    <definedName name="A105." localSheetId="1">#REF!</definedName>
    <definedName name="A105.badindex" localSheetId="1" hidden="1">1</definedName>
    <definedName name="A105.columnindex" localSheetId="1" hidden="1">#REF!</definedName>
    <definedName name="A105.columnindex.dirn" localSheetId="1" hidden="1">"column"</definedName>
    <definedName name="A105.firstindex" localSheetId="1" hidden="1">"row"</definedName>
    <definedName name="A105.rowindex" localSheetId="1" hidden="1">#REF!</definedName>
    <definedName name="A105.rowindex.dirn" localSheetId="1" hidden="1">"row"</definedName>
    <definedName name="A105DAYS" localSheetId="0">#REF!</definedName>
    <definedName name="A105DAYS.dirn" localSheetId="0" hidden="1">"column"</definedName>
    <definedName name="A105TABLE" localSheetId="0">#REF!</definedName>
    <definedName name="A105TABLE.badindex" localSheetId="0" hidden="1">1</definedName>
    <definedName name="A105TABLE.columnindex" localSheetId="0" hidden="1">#REF!</definedName>
    <definedName name="A105TABLE.columnindex.dirn" localSheetId="0" hidden="1">"column"</definedName>
    <definedName name="A105TABLE.firstindex" localSheetId="0" hidden="1">"column"</definedName>
    <definedName name="A105TABLE.rowindex" localSheetId="0" hidden="1">#REF!</definedName>
    <definedName name="A105TABLE.rowindex.dirn" localSheetId="0" hidden="1">"row"</definedName>
    <definedName name="A105TIMEINTERVAL" localSheetId="0">#REF!</definedName>
    <definedName name="A105TIMEINTERVAL.dirn" localSheetId="0" hidden="1">"row"</definedName>
    <definedName name="A106." localSheetId="1">#REF!</definedName>
    <definedName name="A106.badindex" localSheetId="1" hidden="1">1</definedName>
    <definedName name="A106.columnindex" localSheetId="1" hidden="1">#REF!</definedName>
    <definedName name="A106.columnindex.dirn" localSheetId="1" hidden="1">"column"</definedName>
    <definedName name="A106.firstindex" localSheetId="1" hidden="1">"row"</definedName>
    <definedName name="A106.rowindex" localSheetId="1" hidden="1">#REF!</definedName>
    <definedName name="A106.rowindex.dirn" localSheetId="1" hidden="1">"row"</definedName>
    <definedName name="A106DAYS" localSheetId="0">#REF!</definedName>
    <definedName name="A106DAYS.dirn" localSheetId="0" hidden="1">"column"</definedName>
    <definedName name="A106TABLE" localSheetId="0">#REF!</definedName>
    <definedName name="A106TABLE.badindex" localSheetId="0" hidden="1">1</definedName>
    <definedName name="A106TABLE.columnindex" localSheetId="0" hidden="1">#REF!</definedName>
    <definedName name="A106TABLE.columnindex.dirn" localSheetId="0" hidden="1">"column"</definedName>
    <definedName name="A106TABLE.firstindex" localSheetId="0" hidden="1">"column"</definedName>
    <definedName name="A106TABLE.rowindex" localSheetId="0" hidden="1">#REF!</definedName>
    <definedName name="A106TABLE.rowindex.dirn" localSheetId="0" hidden="1">"row"</definedName>
    <definedName name="A106TIMEINTERVAL" localSheetId="0">#REF!</definedName>
    <definedName name="A106TIMEINTERVAL.dirn" localSheetId="0" hidden="1">"row"</definedName>
    <definedName name="A107." localSheetId="1">#REF!</definedName>
    <definedName name="A107.badindex" localSheetId="1" hidden="1">1</definedName>
    <definedName name="A107.columnindex" localSheetId="1" hidden="1">#REF!</definedName>
    <definedName name="A107.columnindex.dirn" localSheetId="1" hidden="1">"column"</definedName>
    <definedName name="A107.firstindex" localSheetId="1" hidden="1">"row"</definedName>
    <definedName name="A107.rowindex" localSheetId="1" hidden="1">#REF!</definedName>
    <definedName name="A107.rowindex.dirn" localSheetId="1" hidden="1">"row"</definedName>
    <definedName name="A107DAYS" localSheetId="0">#REF!</definedName>
    <definedName name="A107DAYS.dirn" localSheetId="0" hidden="1">"column"</definedName>
    <definedName name="A107TABLE" localSheetId="0">#REF!</definedName>
    <definedName name="A107TABLE.badindex" localSheetId="0" hidden="1">1</definedName>
    <definedName name="A107TABLE.columnindex" localSheetId="0" hidden="1">#REF!</definedName>
    <definedName name="A107TABLE.columnindex.dirn" localSheetId="0" hidden="1">"column"</definedName>
    <definedName name="A107TABLE.firstindex" localSheetId="0" hidden="1">"column"</definedName>
    <definedName name="A107TABLE.rowindex" localSheetId="0" hidden="1">#REF!</definedName>
    <definedName name="A107TABLE.rowindex.dirn" localSheetId="0" hidden="1">"row"</definedName>
    <definedName name="A107TIMEINTERVAL" localSheetId="0">#REF!</definedName>
    <definedName name="A107TIMEINTERVAL.dirn" localSheetId="0" hidden="1">"row"</definedName>
    <definedName name="AsistantA102" localSheetId="1">#REF!</definedName>
    <definedName name="AsistantA102.badindex" localSheetId="1" hidden="1">1</definedName>
    <definedName name="AsistantA102.columnindex" localSheetId="1" hidden="1">#REF!</definedName>
    <definedName name="AsistantA102.columnindex.dirn" localSheetId="1" hidden="1">"column"</definedName>
    <definedName name="AsistantA102.firstindex" localSheetId="1" hidden="1">"row"</definedName>
    <definedName name="AsistantA102.rowindex" localSheetId="1" hidden="1">#REF!</definedName>
    <definedName name="AsistantA102.rowindex.dirn" localSheetId="1" hidden="1">"row"</definedName>
    <definedName name="AsistantA103" localSheetId="1">#REF!</definedName>
    <definedName name="AsistantA103.badindex" localSheetId="1" hidden="1">1</definedName>
    <definedName name="AsistantA103.columnindex" localSheetId="1" hidden="1">#REF!</definedName>
    <definedName name="AsistantA103.columnindex.dirn" localSheetId="1" hidden="1">"column"</definedName>
    <definedName name="AsistantA103.firstindex" localSheetId="1" hidden="1">"row"</definedName>
    <definedName name="AsistantA103.rowindex" localSheetId="1" hidden="1">#REF!</definedName>
    <definedName name="AsistantA103.rowindex.dirn" localSheetId="1" hidden="1">"row"</definedName>
    <definedName name="AsistantA104" localSheetId="1">#REF!</definedName>
    <definedName name="AsistantA104.badindex" localSheetId="1" hidden="1">1</definedName>
    <definedName name="AsistantA104.columnindex" localSheetId="1" hidden="1">#REF!</definedName>
    <definedName name="AsistantA104.columnindex.dirn" localSheetId="1" hidden="1">"column"</definedName>
    <definedName name="AsistantA104.firstindex" localSheetId="1" hidden="1">"row"</definedName>
    <definedName name="AsistantA104.rowindex" localSheetId="1" hidden="1">#REF!</definedName>
    <definedName name="AsistantA104.rowindex.dirn" localSheetId="1" hidden="1">"row"</definedName>
    <definedName name="AsistantA105" localSheetId="1">#REF!</definedName>
    <definedName name="AsistantA105.badindex" localSheetId="1" hidden="1">1</definedName>
    <definedName name="AsistantA105.columnindex" localSheetId="1" hidden="1">#REF!</definedName>
    <definedName name="AsistantA105.columnindex.dirn" localSheetId="1" hidden="1">"column"</definedName>
    <definedName name="AsistantA105.firstindex" localSheetId="1" hidden="1">"row"</definedName>
    <definedName name="AsistantA105.rowindex" localSheetId="1" hidden="1">#REF!</definedName>
    <definedName name="AsistantA105.rowindex.dirn" localSheetId="1" hidden="1">"row"</definedName>
    <definedName name="AsistantA106" localSheetId="1">#REF!</definedName>
    <definedName name="AsistantA106.badindex" localSheetId="1" hidden="1">1</definedName>
    <definedName name="AsistantA106.columnindex" localSheetId="1" hidden="1">#REF!</definedName>
    <definedName name="AsistantA106.columnindex.dirn" localSheetId="1" hidden="1">"column"</definedName>
    <definedName name="AsistantA106.firstindex" localSheetId="1" hidden="1">"row"</definedName>
    <definedName name="AsistantA106.rowindex" localSheetId="1" hidden="1">#REF!</definedName>
    <definedName name="AsistantA106.rowindex.dirn" localSheetId="1" hidden="1">"row"</definedName>
    <definedName name="AsistantA107" localSheetId="1">#REF!</definedName>
    <definedName name="AsistantA107.badindex" localSheetId="1" hidden="1">1</definedName>
    <definedName name="AsistantA107.columnindex" localSheetId="1" hidden="1">#REF!</definedName>
    <definedName name="AsistantA107.columnindex.dirn" localSheetId="1" hidden="1">"column"</definedName>
    <definedName name="AsistantA107.firstindex" localSheetId="1" hidden="1">"row"</definedName>
    <definedName name="AsistantA107.rowindex" localSheetId="1" hidden="1">#REF!</definedName>
    <definedName name="AsistantA107.rowindex.dirn" localSheetId="1" hidden="1">"row"</definedName>
    <definedName name="AsistantLab1" localSheetId="1">#REF!</definedName>
    <definedName name="AsistantLab1.badindex" localSheetId="1" hidden="1">1</definedName>
    <definedName name="AsistantLab1.columnindex" localSheetId="1" hidden="1">#REF!</definedName>
    <definedName name="AsistantLab1.columnindex.dirn" localSheetId="1" hidden="1">"column"</definedName>
    <definedName name="AsistantLab1.firstindex" localSheetId="1" hidden="1">"row"</definedName>
    <definedName name="AsistantLab1.rowindex" localSheetId="1" hidden="1">#REF!</definedName>
    <definedName name="AsistantLab1.rowindex.dirn" localSheetId="1" hidden="1">"row"</definedName>
    <definedName name="AsistantLab2" localSheetId="1">#REF!</definedName>
    <definedName name="AsistantLab2.badindex" localSheetId="1" hidden="1">1</definedName>
    <definedName name="AsistantLab2.columnindex" localSheetId="1" hidden="1">#REF!</definedName>
    <definedName name="AsistantLab2.columnindex.dirn" localSheetId="1" hidden="1">"column"</definedName>
    <definedName name="AsistantLab2.firstindex" localSheetId="1" hidden="1">"row"</definedName>
    <definedName name="AsistantLab2.rowindex" localSheetId="1" hidden="1">#REF!</definedName>
    <definedName name="AsistantLab2.rowindex.dirn" localSheetId="1" hidden="1">"row"</definedName>
    <definedName name="AsistantLab3" localSheetId="1">#REF!</definedName>
    <definedName name="AsistantLab3.badindex" localSheetId="1" hidden="1">1</definedName>
    <definedName name="AsistantLab3.columnindex" localSheetId="1" hidden="1">#REF!</definedName>
    <definedName name="AsistantLab3.columnindex.dirn" localSheetId="1" hidden="1">"column"</definedName>
    <definedName name="AsistantLab3.firstindex" localSheetId="1" hidden="1">"row"</definedName>
    <definedName name="AsistantLab3.rowindex" localSheetId="1" hidden="1">#REF!</definedName>
    <definedName name="AsistantLab3.rowindex.dirn" localSheetId="1" hidden="1">"row"</definedName>
    <definedName name="AsistantLab4" localSheetId="1">#REF!</definedName>
    <definedName name="AsistantLab4.badindex" localSheetId="1" hidden="1">1</definedName>
    <definedName name="AsistantLab4.columnindex" localSheetId="1" hidden="1">#REF!</definedName>
    <definedName name="AsistantLab4.columnindex.dirn" localSheetId="1" hidden="1">"column"</definedName>
    <definedName name="AsistantLab4.firstindex" localSheetId="1" hidden="1">"row"</definedName>
    <definedName name="AsistantLab4.rowindex" localSheetId="1" hidden="1">#REF!</definedName>
    <definedName name="AsistantLab4.rowindex.dirn" localSheetId="1" hidden="1">"row"</definedName>
    <definedName name="Asistants" localSheetId="1">asistan!$A$4:$A$41</definedName>
    <definedName name="Asistants.dirn" localSheetId="1" hidden="1">"row"</definedName>
    <definedName name="AsistantsName" localSheetId="1">asistan!$B$4:$B$41</definedName>
    <definedName name="AsistantsName.badindex" localSheetId="1" hidden="1">1</definedName>
    <definedName name="AsistantsName.columnindex" localSheetId="1" hidden="1">asistan!$B$3</definedName>
    <definedName name="AsistantsName.columnindex.dirn" localSheetId="1" hidden="1">"column"</definedName>
    <definedName name="AsistantsName.firstindex" localSheetId="1" hidden="1">"row"</definedName>
    <definedName name="AsistantsName.rowindex" localSheetId="1" hidden="1">asistan!$A$4:$A$41</definedName>
    <definedName name="AsistantsName.rowindex.dirn" localSheetId="1" hidden="1">"row"</definedName>
    <definedName name="AsistantsSeniority" localSheetId="1">asistan!$C$4:$C$41</definedName>
    <definedName name="AsistantsSeniority.badindex" localSheetId="1" hidden="1">1</definedName>
    <definedName name="AsistantsSeniority.columnindex" localSheetId="1" hidden="1">asistan!$C$3</definedName>
    <definedName name="AsistantsSeniority.columnindex.dirn" localSheetId="1" hidden="1">"column"</definedName>
    <definedName name="AsistantsSeniority.firstindex" localSheetId="1" hidden="1">"row"</definedName>
    <definedName name="AsistantsSeniority.rowindex" localSheetId="1" hidden="1">asistan!$A$4:$A$41</definedName>
    <definedName name="AsistantsSeniority.rowindex.dirn" localSheetId="1" hidden="1">"row"</definedName>
    <definedName name="AsistantZ03" localSheetId="1">#REF!</definedName>
    <definedName name="AsistantZ03.badindex" localSheetId="1" hidden="1">1</definedName>
    <definedName name="AsistantZ03.columnindex" localSheetId="1" hidden="1">#REF!</definedName>
    <definedName name="AsistantZ03.columnindex.dirn" localSheetId="1" hidden="1">"column"</definedName>
    <definedName name="AsistantZ03.firstindex" localSheetId="1" hidden="1">"row"</definedName>
    <definedName name="AsistantZ03.rowindex" localSheetId="1" hidden="1">#REF!</definedName>
    <definedName name="AsistantZ03.rowindex.dirn" localSheetId="1" hidden="1">"row"</definedName>
    <definedName name="AsistantZ04" localSheetId="1">#REF!</definedName>
    <definedName name="AsistantZ04.badindex" localSheetId="1" hidden="1">1</definedName>
    <definedName name="AsistantZ04.columnindex" localSheetId="1" hidden="1">#REF!</definedName>
    <definedName name="AsistantZ04.columnindex.dirn" localSheetId="1" hidden="1">"column"</definedName>
    <definedName name="AsistantZ04.firstindex" localSheetId="1" hidden="1">"row"</definedName>
    <definedName name="AsistantZ04.rowindex" localSheetId="1" hidden="1">#REF!</definedName>
    <definedName name="AsistantZ04.rowindex.dirn" localSheetId="1" hidden="1">"row"</definedName>
    <definedName name="AsistantZ05" localSheetId="1">#REF!</definedName>
    <definedName name="AsistantZ05.badindex" localSheetId="1" hidden="1">1</definedName>
    <definedName name="AsistantZ05.columnindex" localSheetId="1" hidden="1">#REF!</definedName>
    <definedName name="AsistantZ05.columnindex.dirn" localSheetId="1" hidden="1">"column"</definedName>
    <definedName name="AsistantZ05.firstindex" localSheetId="1" hidden="1">"row"</definedName>
    <definedName name="AsistantZ05.rowindex" localSheetId="1" hidden="1">#REF!</definedName>
    <definedName name="AsistantZ05.rowindex.dirn" localSheetId="1" hidden="1">"row"</definedName>
    <definedName name="AsistantZ06" localSheetId="1">#REF!</definedName>
    <definedName name="AsistantZ06.badindex" localSheetId="1" hidden="1">1</definedName>
    <definedName name="AsistantZ06.columnindex" localSheetId="1" hidden="1">#REF!</definedName>
    <definedName name="AsistantZ06.columnindex.dirn" localSheetId="1" hidden="1">"column"</definedName>
    <definedName name="AsistantZ06.firstindex" localSheetId="1" hidden="1">"row"</definedName>
    <definedName name="AsistantZ06.rowindex" localSheetId="1" hidden="1">#REF!</definedName>
    <definedName name="AsistantZ06.rowindex.dirn" localSheetId="1" hidden="1">"row"</definedName>
    <definedName name="AsistantZ07" localSheetId="1">#REF!</definedName>
    <definedName name="AsistantZ07.badindex" localSheetId="1" hidden="1">1</definedName>
    <definedName name="AsistantZ07.columnindex" localSheetId="1" hidden="1">#REF!</definedName>
    <definedName name="AsistantZ07.columnindex.dirn" localSheetId="1" hidden="1">"column"</definedName>
    <definedName name="AsistantZ07.firstindex" localSheetId="1" hidden="1">"row"</definedName>
    <definedName name="AsistantZ07.rowindex" localSheetId="1" hidden="1">#REF!</definedName>
    <definedName name="AsistantZ07.rowindex.dirn" localSheetId="1" hidden="1">"row"</definedName>
    <definedName name="BANKA1" localSheetId="0">input!$AK$4:$AK$21</definedName>
    <definedName name="BANKA1.dirn" localSheetId="0" hidden="1">"row"</definedName>
    <definedName name="BANKA2" localSheetId="0">input!$AL$4:$AL$21</definedName>
    <definedName name="BANKA2.dirn" localSheetId="0" hidden="1">"row"</definedName>
    <definedName name="capacityofclass" localSheetId="0">input!$N$4:$N$18</definedName>
    <definedName name="capacityofclass.badindex" localSheetId="0" hidden="1">1</definedName>
    <definedName name="capacityofclass.columnindex" localSheetId="0" hidden="1">input!$N$3</definedName>
    <definedName name="capacityofclass.columnindex.dirn" localSheetId="0" hidden="1">"column"</definedName>
    <definedName name="capacityofclass.firstindex" localSheetId="0" hidden="1">"row"</definedName>
    <definedName name="capacityofclass.rowindex" localSheetId="0" hidden="1">input!$L$4:$L$18</definedName>
    <definedName name="capacityofclass.rowindex.dirn" localSheetId="0" hidden="1">"row"</definedName>
    <definedName name="capacityofcourses" localSheetId="0">input!$C$4:$C$203</definedName>
    <definedName name="capacityofcourses.badindex" localSheetId="0" hidden="1">1</definedName>
    <definedName name="capacityofcourses.columnindex" localSheetId="0" hidden="1">input!$C$3</definedName>
    <definedName name="capacityofcourses.columnindex.dirn" localSheetId="0" hidden="1">"column"</definedName>
    <definedName name="capacityofcourses.firstindex" localSheetId="0" hidden="1">"row"</definedName>
    <definedName name="capacityofcourses.rowindex" localSheetId="0" hidden="1">input!$A$4:$A$203</definedName>
    <definedName name="capacityofcourses.rowindex.dirn" localSheetId="0" hidden="1">"row"</definedName>
    <definedName name="ClassList" localSheetId="0">input!$M$4:$M$18</definedName>
    <definedName name="ClassList.badindex" localSheetId="0" hidden="1">1</definedName>
    <definedName name="ClassList.columnindex" localSheetId="0" hidden="1">input!$M$3</definedName>
    <definedName name="ClassList.columnindex.dirn" localSheetId="0" hidden="1">"column"</definedName>
    <definedName name="ClassList.firstindex" localSheetId="0" hidden="1">"row"</definedName>
    <definedName name="ClassList.rowindex" localSheetId="0" hidden="1">input!$L$4:$L$18</definedName>
    <definedName name="ClassList.rowindex.dirn" localSheetId="0" hidden="1">"row"</definedName>
    <definedName name="Classroom" localSheetId="1">asistan!$J$27:$J$41</definedName>
    <definedName name="Classroom" localSheetId="0">input!$L$4:$L$14</definedName>
    <definedName name="Classroom.dirn" localSheetId="1" hidden="1">"row"</definedName>
    <definedName name="Classroom.dirn" localSheetId="0" hidden="1">"row"</definedName>
    <definedName name="ClassroomName" localSheetId="1">asistan!$K$27:$K$41</definedName>
    <definedName name="ClassroomName.badindex" localSheetId="1" hidden="1">1</definedName>
    <definedName name="ClassroomName.columnindex" localSheetId="1" hidden="1">asistan!$K$26</definedName>
    <definedName name="ClassroomName.columnindex.dirn" localSheetId="1" hidden="1">"column"</definedName>
    <definedName name="ClassroomName.firstindex" localSheetId="1" hidden="1">"row"</definedName>
    <definedName name="ClassroomName.rowindex" localSheetId="1" hidden="1">asistan!$J$27:$J$41</definedName>
    <definedName name="ClassroomName.rowindex.dirn" localSheetId="1" hidden="1">"row"</definedName>
    <definedName name="Classrooms" localSheetId="0">input!$L$4:$L$18</definedName>
    <definedName name="Classrooms.dirn" localSheetId="0" hidden="1">"row"</definedName>
    <definedName name="cost1" localSheetId="0">input!$AE$37:$AE$54</definedName>
    <definedName name="cost1.badindex" localSheetId="0" hidden="1">1</definedName>
    <definedName name="cost1.rowindex" localSheetId="0" hidden="1">input!$AE$4:$AE$21</definedName>
    <definedName name="cost1.rowindex.dirn" localSheetId="0" hidden="1">"row"</definedName>
    <definedName name="cost10" localSheetId="0">input!$AR$37:$AR$54</definedName>
    <definedName name="cost10.badindex" localSheetId="0" hidden="1">1</definedName>
    <definedName name="cost10.rowindex" localSheetId="0" hidden="1">input!$AR$4:$AR$21</definedName>
    <definedName name="cost10.rowindex.dirn" localSheetId="0" hidden="1">"row"</definedName>
    <definedName name="cost11" localSheetId="0">input!$AT$37:$AT$54</definedName>
    <definedName name="cost11.badindex" localSheetId="0" hidden="1">1</definedName>
    <definedName name="cost11.rowindex" localSheetId="0" hidden="1">input!$AT$4:$AT$21</definedName>
    <definedName name="cost11.rowindex.dirn" localSheetId="0" hidden="1">"row"</definedName>
    <definedName name="cost12" localSheetId="0">input!$AU$37:$AU$54</definedName>
    <definedName name="cost12.badindex" localSheetId="0" hidden="1">1</definedName>
    <definedName name="cost12.rowindex" localSheetId="0" hidden="1">input!$AU$4:$AU$21</definedName>
    <definedName name="cost12.rowindex.dirn" localSheetId="0" hidden="1">"row"</definedName>
    <definedName name="cost13" localSheetId="0">input!$AW$37:$AW$54</definedName>
    <definedName name="cost13.badindex" localSheetId="0" hidden="1">1</definedName>
    <definedName name="cost13.rowindex" localSheetId="0" hidden="1">input!$AW$4:$AW$21</definedName>
    <definedName name="cost13.rowindex.dirn" localSheetId="0" hidden="1">"row"</definedName>
    <definedName name="cost14" localSheetId="0">input!$AX$37:$AX$54</definedName>
    <definedName name="cost14.badindex" localSheetId="0" hidden="1">1</definedName>
    <definedName name="cost14.rowindex" localSheetId="0" hidden="1">input!$AX$4:$AX$21</definedName>
    <definedName name="cost14.rowindex.dirn" localSheetId="0" hidden="1">"row"</definedName>
    <definedName name="cost2" localSheetId="0">input!$AF$37:$AF$54</definedName>
    <definedName name="cost2.badindex" localSheetId="0" hidden="1">1</definedName>
    <definedName name="cost2.rowindex" localSheetId="0" hidden="1">input!$AF$4:$AF$21</definedName>
    <definedName name="cost2.rowindex.dirn" localSheetId="0" hidden="1">"row"</definedName>
    <definedName name="cost3" localSheetId="0">input!$AH$37:$AH$54</definedName>
    <definedName name="cost3.badindex" localSheetId="0" hidden="1">1</definedName>
    <definedName name="cost3.rowindex" localSheetId="0" hidden="1">input!$AH$4:$AH$21</definedName>
    <definedName name="cost3.rowindex.dirn" localSheetId="0" hidden="1">"row"</definedName>
    <definedName name="cost4" localSheetId="0">input!$AI$37:$AI$54</definedName>
    <definedName name="cost4.badindex" localSheetId="0" hidden="1">1</definedName>
    <definedName name="cost4.rowindex" localSheetId="0" hidden="1">input!$AI$4:$AI$21</definedName>
    <definedName name="cost4.rowindex.dirn" localSheetId="0" hidden="1">"row"</definedName>
    <definedName name="cost5" localSheetId="0">input!$AK$37:$AK$54</definedName>
    <definedName name="cost5.badindex" localSheetId="0" hidden="1">1</definedName>
    <definedName name="cost5.rowindex" localSheetId="0" hidden="1">input!$AK$4:$AK$21</definedName>
    <definedName name="cost5.rowindex.dirn" localSheetId="0" hidden="1">"row"</definedName>
    <definedName name="cost6" localSheetId="0">input!$AL$37:$AL$54</definedName>
    <definedName name="cost6.badindex" localSheetId="0" hidden="1">1</definedName>
    <definedName name="cost6.rowindex" localSheetId="0" hidden="1">input!$AL$4:$AL$21</definedName>
    <definedName name="cost6.rowindex.dirn" localSheetId="0" hidden="1">"row"</definedName>
    <definedName name="cost7" localSheetId="0">input!$AN$37:$AN$54</definedName>
    <definedName name="cost7.badindex" localSheetId="0" hidden="1">1</definedName>
    <definedName name="cost7.rowindex" localSheetId="0" hidden="1">input!$AN$4:$AN$21</definedName>
    <definedName name="cost7.rowindex.dirn" localSheetId="0" hidden="1">"row"</definedName>
    <definedName name="cost8" localSheetId="0">input!$AO$37:$AO$54</definedName>
    <definedName name="cost8.badindex" localSheetId="0" hidden="1">1</definedName>
    <definedName name="cost8.rowindex" localSheetId="0" hidden="1">input!$AO$4:$AO$21</definedName>
    <definedName name="cost8.rowindex.dirn" localSheetId="0" hidden="1">"row"</definedName>
    <definedName name="cost9" localSheetId="0">input!$AQ$37:$AQ$54</definedName>
    <definedName name="cost9.badindex" localSheetId="0" hidden="1">1</definedName>
    <definedName name="cost9.rowindex" localSheetId="0" hidden="1">input!$AQ$4:$AQ$21</definedName>
    <definedName name="cost9.rowindex.dirn" localSheetId="0" hidden="1">"row"</definedName>
    <definedName name="CourseFeature" localSheetId="0">input!$D$4:$I$250</definedName>
    <definedName name="CourseFeature.badindex" localSheetId="0" hidden="1">1</definedName>
    <definedName name="CourseFeature.columnindex" localSheetId="0" hidden="1">input!$D$3:$I$3</definedName>
    <definedName name="CourseFeature.columnindex.dirn" localSheetId="0" hidden="1">"column"</definedName>
    <definedName name="CourseFeature.firstindex" localSheetId="0" hidden="1">"row"</definedName>
    <definedName name="CourseFeature.rowindex" localSheetId="0" hidden="1">input!$A$4:$A$250</definedName>
    <definedName name="CourseFeature.rowindex.dirn" localSheetId="0" hidden="1">"row"</definedName>
    <definedName name="CourseHour" localSheetId="1">asistan!$AX$4:$AX$250</definedName>
    <definedName name="CourseHour.badindex" localSheetId="1" hidden="1">1</definedName>
    <definedName name="CourseHour.columnindex" localSheetId="1" hidden="1">asistan!$AX$3</definedName>
    <definedName name="CourseHour.columnindex.dirn" localSheetId="1" hidden="1">"column"</definedName>
    <definedName name="CourseHour.firstindex" localSheetId="1" hidden="1">"row"</definedName>
    <definedName name="CourseHour.rowindex" localSheetId="1" hidden="1">asistan!$AU$4:$AU$250</definedName>
    <definedName name="CourseHour.rowindex.dirn" localSheetId="1" hidden="1">"row"</definedName>
    <definedName name="CourseName" localSheetId="1">asistan!$AV$4:$AV$250</definedName>
    <definedName name="CourseName" localSheetId="0">input!$B$4:$B$203</definedName>
    <definedName name="CourseName.badindex" localSheetId="1" hidden="1">1</definedName>
    <definedName name="CourseName.badindex" localSheetId="0" hidden="1">1</definedName>
    <definedName name="CourseName.columnindex" localSheetId="1" hidden="1">asistan!$AV$3</definedName>
    <definedName name="CourseName.columnindex" localSheetId="0" hidden="1">input!$B$3</definedName>
    <definedName name="CourseName.columnindex.dirn" localSheetId="1" hidden="1">"column"</definedName>
    <definedName name="CourseName.columnindex.dirn" localSheetId="0" hidden="1">"column"</definedName>
    <definedName name="CourseName.firstindex" localSheetId="1" hidden="1">"row"</definedName>
    <definedName name="CourseName.firstindex" localSheetId="0" hidden="1">"column"</definedName>
    <definedName name="CourseName.rowindex" localSheetId="1" hidden="1">asistan!$AU$4:$AU$250</definedName>
    <definedName name="CourseName.rowindex" localSheetId="0" hidden="1">input!$A$4:$A$203</definedName>
    <definedName name="CourseName.rowindex.dirn" localSheetId="1" hidden="1">"row"</definedName>
    <definedName name="CourseName.rowindex.dirn" localSheetId="0" hidden="1">"row"</definedName>
    <definedName name="Courses" localSheetId="1">asistan!$AU$4:$AU$250</definedName>
    <definedName name="Courses" localSheetId="0">input!$A$4:$A$203</definedName>
    <definedName name="Courses.dirn" localSheetId="1" hidden="1">"row"</definedName>
    <definedName name="Courses.dirn" localSheetId="0" hidden="1">"row"</definedName>
    <definedName name="Days" localSheetId="1">asistan!$J$4:$J$23</definedName>
    <definedName name="Days" localSheetId="0">input!$K$22:$K$31</definedName>
    <definedName name="Days.dirn" localSheetId="1" hidden="1">"row"</definedName>
    <definedName name="Days.dirn" localSheetId="0" hidden="1">"row"</definedName>
    <definedName name="DesiredDays" localSheetId="1">asistan!$AE$4:$AS$41</definedName>
    <definedName name="DesiredDays.badindex" localSheetId="1" hidden="1">1</definedName>
    <definedName name="DesiredDays.columnindex" localSheetId="1" hidden="1">asistan!$AE$3:$AS$3</definedName>
    <definedName name="DesiredDays.columnindex.dirn" localSheetId="1" hidden="1">"column"</definedName>
    <definedName name="DesiredDays.firstindex" localSheetId="1" hidden="1">"row"</definedName>
    <definedName name="DesiredDays.rowindex" localSheetId="1" hidden="1">asistan!$AD$4:$AD$41</definedName>
    <definedName name="DesiredDays.rowindex.dirn" localSheetId="1" hidden="1">"row"</definedName>
    <definedName name="DISTICARET1" localSheetId="0">input!$AQ$4:$AQ$21</definedName>
    <definedName name="DISTICARET1.dirn" localSheetId="0" hidden="1">"row"</definedName>
    <definedName name="DISTICARET2" localSheetId="0">input!$AR$4:$AR$21</definedName>
    <definedName name="DISTICARET2.dirn" localSheetId="0" hidden="1">"row"</definedName>
    <definedName name="EMLAK1" localSheetId="0">input!$AE$4:$AE$21</definedName>
    <definedName name="EMLAK1.dirn" localSheetId="0" hidden="1">"row"</definedName>
    <definedName name="EMLAK2" localSheetId="0">input!$AF$4:$AF$21</definedName>
    <definedName name="EMLAK2.dirn" localSheetId="0" hidden="1">"row"</definedName>
    <definedName name="Exam" localSheetId="1">asistan!$BE$4:$BH$253</definedName>
    <definedName name="Exam.badindex" localSheetId="1" hidden="1">1</definedName>
    <definedName name="Exam.columnindex" localSheetId="1" hidden="1">asistan!$BE$3:$BH$3</definedName>
    <definedName name="Exam.columnindex.dirn" localSheetId="1" hidden="1">"column"</definedName>
    <definedName name="Exam.firstindex" localSheetId="1" hidden="1">"row"</definedName>
    <definedName name="Exam.rowindex" localSheetId="1" hidden="1">asistan!$BD$4:$BD$253</definedName>
    <definedName name="Exam.rowindex.dirn" localSheetId="1" hidden="1">"row"</definedName>
    <definedName name="ExamIndex" localSheetId="1">asistan!$BD$4:$BD$253</definedName>
    <definedName name="ExamIndex.dirn" localSheetId="1" hidden="1">"row"</definedName>
    <definedName name="ExamOutput" localSheetId="1">asistan!$BA$4:$BB$250</definedName>
    <definedName name="ExamOutput" localSheetId="0">asistan!$BA$4:$BB$250</definedName>
    <definedName name="ExamOutput.badindex" localSheetId="1" hidden="1">1</definedName>
    <definedName name="ExamOutput.badindex" localSheetId="0" hidden="1">1</definedName>
    <definedName name="ExamOutput.columnindex" localSheetId="1" hidden="1">asistan!$BA$3:$BB$3</definedName>
    <definedName name="ExamOutput.columnindex" localSheetId="0" hidden="1">asistan!$BA$3:$BB$3</definedName>
    <definedName name="ExamOutput.columnindex.dirn" localSheetId="1" hidden="1">"column"</definedName>
    <definedName name="ExamOutput.columnindex.dirn" localSheetId="0" hidden="1">"column"</definedName>
    <definedName name="ExamOutput.firstindex" localSheetId="1" hidden="1">"row"</definedName>
    <definedName name="ExamOutput.firstindex" localSheetId="0" hidden="1">"row"</definedName>
    <definedName name="ExamOutput.rowindex" localSheetId="1" hidden="1">asistan!$AZ$4:$AZ$250</definedName>
    <definedName name="ExamOutput.rowindex" localSheetId="0" hidden="1">asistan!$AZ$4:$AZ$250</definedName>
    <definedName name="ExamOutput.rowindex.dirn" localSheetId="1" hidden="1">"row"</definedName>
    <definedName name="ExamOutput.rowindex.dirn" localSheetId="0" hidden="1">"row"</definedName>
    <definedName name="ExamOutputIndex" localSheetId="1">asistan!$AZ$4:$AZ$250</definedName>
    <definedName name="ExamOutputIndex.dirn" localSheetId="1" hidden="1">"row"</definedName>
    <definedName name="Exception" localSheetId="0">input!$AB$4:$AC$203</definedName>
    <definedName name="Exception.badindex" localSheetId="0" hidden="1">1</definedName>
    <definedName name="Exception.columnindex" localSheetId="0" hidden="1">input!$AB$3:$AC$3</definedName>
    <definedName name="Exception.columnindex.dirn" localSheetId="0" hidden="1">"column"</definedName>
    <definedName name="Exception.firstindex" localSheetId="0" hidden="1">"row"</definedName>
    <definedName name="Exception.rowindex" localSheetId="0" hidden="1">input!$AA$4:$AA$203</definedName>
    <definedName name="Exception.rowindex.dirn" localSheetId="0" hidden="1">"row"</definedName>
    <definedName name="ExceptionArray1" localSheetId="0">input!$AB$4:$AB$203</definedName>
    <definedName name="ExceptionArray1.dirn" localSheetId="0" hidden="1">"row"</definedName>
    <definedName name="ExceptionArray2" localSheetId="0">input!$AC$4:$AC$203</definedName>
    <definedName name="ExceptionArray2.dirn" localSheetId="0" hidden="1">"row"</definedName>
    <definedName name="ExceptionIndex" localSheetId="0">input!$AA$4:$AA$203</definedName>
    <definedName name="ExceptionIndex.dirn" localSheetId="0" hidden="1">"row"</definedName>
    <definedName name="GozetmenToplu" localSheetId="1">#REF!</definedName>
    <definedName name="GozetmenToplu.badindex" localSheetId="1" hidden="1">1</definedName>
    <definedName name="GozetmenToplu.columnindex" localSheetId="1" hidden="1">#REF!</definedName>
    <definedName name="GozetmenToplu.columnindex.dirn" localSheetId="1" hidden="1">"column"</definedName>
    <definedName name="GozetmenToplu.firstindex" localSheetId="1" hidden="1">"row"</definedName>
    <definedName name="GozetmenToplu.rowindex" localSheetId="1" hidden="1">#REF!</definedName>
    <definedName name="GozetmenToplu.rowindex.dirn" localSheetId="1" hidden="1">"row"</definedName>
    <definedName name="InstructorCourse" localSheetId="1">asistan!$G$4:$H$43</definedName>
    <definedName name="InstructorCourse.badindex" localSheetId="1" hidden="1">1</definedName>
    <definedName name="InstructorCourse.columnindex" localSheetId="1" hidden="1">asistan!$G$3:$H$3</definedName>
    <definedName name="InstructorCourse.columnindex.dirn" localSheetId="1" hidden="1">"column"</definedName>
    <definedName name="InstructorCourse.firstindex" localSheetId="1" hidden="1">"row"</definedName>
    <definedName name="InstructorCourse.rowindex" localSheetId="1" hidden="1">asistan!$F$4:$F$43</definedName>
    <definedName name="InstructorCourse.rowindex.dirn" localSheetId="1" hidden="1">"row"</definedName>
    <definedName name="InstructorCourseIndex" localSheetId="1">asistan!$F$4:$F$43</definedName>
    <definedName name="InstructorCourseIndex.dirn" localSheetId="1" hidden="1">"row"</definedName>
    <definedName name="ISLETME1" localSheetId="0">input!$AH$4:$AH$21</definedName>
    <definedName name="ISLETME1.dirn" localSheetId="0" hidden="1">"row"</definedName>
    <definedName name="ISLETME2" localSheetId="0">input!$AI$4:$AI$21</definedName>
    <definedName name="ISLETME2.dirn" localSheetId="0" hidden="1">"row"</definedName>
    <definedName name="JointCourseList" localSheetId="0">input!$Q$4:$S$39</definedName>
    <definedName name="JointCourseList.badindex" localSheetId="0" hidden="1">1</definedName>
    <definedName name="JointCourseList.columnindex" localSheetId="0" hidden="1">input!$Q$3:$S$3</definedName>
    <definedName name="JointCourseList.columnindex.dirn" localSheetId="0" hidden="1">"column"</definedName>
    <definedName name="JointCourseList.firstindex" localSheetId="0" hidden="1">"row"</definedName>
    <definedName name="JointCourseList.rowindex" localSheetId="0" hidden="1">input!$P$4:$P$39</definedName>
    <definedName name="JointCourseList.rowindex.dirn" localSheetId="0" hidden="1">"row"</definedName>
    <definedName name="JointCourseListIndex" localSheetId="0">input!$P$4:$P$39</definedName>
    <definedName name="JointCourseListIndex.dirn" localSheetId="0" hidden="1">"row"</definedName>
    <definedName name="LAB1." localSheetId="1">#REF!</definedName>
    <definedName name="LAB1.badindex" localSheetId="1" hidden="1">1</definedName>
    <definedName name="LAB1.columnindex" localSheetId="1" hidden="1">#REF!</definedName>
    <definedName name="LAB1.columnindex.dirn" localSheetId="1" hidden="1">"column"</definedName>
    <definedName name="LAB1.firstindex" localSheetId="1" hidden="1">"row"</definedName>
    <definedName name="LAB1.rowindex" localSheetId="1" hidden="1">#REF!</definedName>
    <definedName name="LAB1.rowindex.dirn" localSheetId="1" hidden="1">"row"</definedName>
    <definedName name="LAB1DAYS" localSheetId="0">#REF!</definedName>
    <definedName name="LAB1DAYS.dirn" localSheetId="0" hidden="1">"column"</definedName>
    <definedName name="LAB1TABLE" localSheetId="0">#REF!</definedName>
    <definedName name="LAB1TABLE.badindex" localSheetId="0" hidden="1">1</definedName>
    <definedName name="LAB1TABLE.columnindex" localSheetId="0" hidden="1">#REF!</definedName>
    <definedName name="LAB1TABLE.columnindex.dirn" localSheetId="0" hidden="1">"column"</definedName>
    <definedName name="LAB1TABLE.firstindex" localSheetId="0" hidden="1">"column"</definedName>
    <definedName name="LAB1TABLE.rowindex" localSheetId="0" hidden="1">#REF!</definedName>
    <definedName name="LAB1TABLE.rowindex.dirn" localSheetId="0" hidden="1">"row"</definedName>
    <definedName name="LAB1TIMEINTERVAL" localSheetId="0">#REF!</definedName>
    <definedName name="LAB1TIMEINTERVAL.dirn" localSheetId="0" hidden="1">"row"</definedName>
    <definedName name="LAB2." localSheetId="1">#REF!</definedName>
    <definedName name="LAB2.badindex" localSheetId="1" hidden="1">1</definedName>
    <definedName name="LAB2.columnindex" localSheetId="1" hidden="1">#REF!</definedName>
    <definedName name="LAB2.columnindex.dirn" localSheetId="1" hidden="1">"column"</definedName>
    <definedName name="LAB2.firstindex" localSheetId="1" hidden="1">"row"</definedName>
    <definedName name="LAB2.rowindex" localSheetId="1" hidden="1">#REF!</definedName>
    <definedName name="LAB2.rowindex.dirn" localSheetId="1" hidden="1">"row"</definedName>
    <definedName name="LAB2DAYS" localSheetId="0">#REF!</definedName>
    <definedName name="LAB2DAYS.dirn" localSheetId="0" hidden="1">"column"</definedName>
    <definedName name="LAB2TABLE" localSheetId="0">#REF!</definedName>
    <definedName name="LAB2TABLE.badindex" localSheetId="0" hidden="1">1</definedName>
    <definedName name="LAB2TABLE.columnindex" localSheetId="0" hidden="1">#REF!</definedName>
    <definedName name="LAB2TABLE.columnindex.dirn" localSheetId="0" hidden="1">"column"</definedName>
    <definedName name="LAB2TABLE.firstindex" localSheetId="0" hidden="1">"column"</definedName>
    <definedName name="LAB2TABLE.rowindex" localSheetId="0" hidden="1">#REF!</definedName>
    <definedName name="LAB2TABLE.rowindex.dirn" localSheetId="0" hidden="1">"row"</definedName>
    <definedName name="LAB2TIMEINTERVAL" localSheetId="0">#REF!</definedName>
    <definedName name="LAB2TIMEINTERVAL.dirn" localSheetId="0" hidden="1">"row"</definedName>
    <definedName name="LAB3." localSheetId="1">#REF!</definedName>
    <definedName name="LAB3.badindex" localSheetId="1" hidden="1">1</definedName>
    <definedName name="LAB3.columnindex" localSheetId="1" hidden="1">#REF!</definedName>
    <definedName name="LAB3.columnindex.dirn" localSheetId="1" hidden="1">"column"</definedName>
    <definedName name="LAB3.firstindex" localSheetId="1" hidden="1">"row"</definedName>
    <definedName name="LAB3.rowindex" localSheetId="1" hidden="1">#REF!</definedName>
    <definedName name="LAB3.rowindex.dirn" localSheetId="1" hidden="1">"row"</definedName>
    <definedName name="LAB3DAYS" localSheetId="0">#REF!</definedName>
    <definedName name="LAB3DAYS.dirn" localSheetId="0" hidden="1">"column"</definedName>
    <definedName name="LAB3TABLE" localSheetId="0">#REF!</definedName>
    <definedName name="LAB3TABLE.badindex" localSheetId="0" hidden="1">1</definedName>
    <definedName name="LAB3TABLE.columnindex" localSheetId="0" hidden="1">#REF!</definedName>
    <definedName name="LAB3TABLE.columnindex.dirn" localSheetId="0" hidden="1">"column"</definedName>
    <definedName name="LAB3TABLE.firstindex" localSheetId="0" hidden="1">"column"</definedName>
    <definedName name="LAB3TABLE.rowindex" localSheetId="0" hidden="1">#REF!</definedName>
    <definedName name="LAB3TABLE.rowindex.dirn" localSheetId="0" hidden="1">"row"</definedName>
    <definedName name="LAB3TIMEINTERVAL" localSheetId="0">#REF!</definedName>
    <definedName name="LAB3TIMEINTERVAL.dirn" localSheetId="0" hidden="1">"row"</definedName>
    <definedName name="LAB4." localSheetId="1">#REF!</definedName>
    <definedName name="LAB4.badindex" localSheetId="1" hidden="1">1</definedName>
    <definedName name="LAB4.columnindex" localSheetId="1" hidden="1">#REF!</definedName>
    <definedName name="LAB4.columnindex.dirn" localSheetId="1" hidden="1">"column"</definedName>
    <definedName name="LAB4.firstindex" localSheetId="1" hidden="1">"row"</definedName>
    <definedName name="LAB4.rowindex" localSheetId="1" hidden="1">#REF!</definedName>
    <definedName name="LAB4.rowindex.dirn" localSheetId="1" hidden="1">"row"</definedName>
    <definedName name="LAB4DAYS" localSheetId="0">#REF!</definedName>
    <definedName name="LAB4DAYS.dirn" localSheetId="0" hidden="1">"column"</definedName>
    <definedName name="LAB4TABLE" localSheetId="0">#REF!</definedName>
    <definedName name="LAB4TABLE.badindex" localSheetId="0" hidden="1">1</definedName>
    <definedName name="LAB4TABLE.columnindex" localSheetId="0" hidden="1">#REF!</definedName>
    <definedName name="LAB4TABLE.columnindex.dirn" localSheetId="0" hidden="1">"column"</definedName>
    <definedName name="LAB4TABLE.firstindex" localSheetId="0" hidden="1">"column"</definedName>
    <definedName name="LAB4TABLE.rowindex" localSheetId="0" hidden="1">#REF!</definedName>
    <definedName name="LAB4TABLE.rowindex.dirn" localSheetId="0" hidden="1">"row"</definedName>
    <definedName name="LAB4TIMEINTERVAL" localSheetId="0">#REF!</definedName>
    <definedName name="LAB4TIMEINTERVAL.dirn" localSheetId="0" hidden="1">"row"</definedName>
    <definedName name="LabClassroom" localSheetId="0">input!$L$15:$L$18</definedName>
    <definedName name="LabClassroom.dirn" localSheetId="0" hidden="1">"row"</definedName>
    <definedName name="LastTable" localSheetId="0">#REF!</definedName>
    <definedName name="LastTable.badindex" localSheetId="0" hidden="1">1</definedName>
    <definedName name="LastTable.columnindex" localSheetId="0" hidden="1">#REF!</definedName>
    <definedName name="LastTable.columnindex.dirn" localSheetId="0" hidden="1">"column"</definedName>
    <definedName name="LastTable.firstindex" localSheetId="0" hidden="1">"row"</definedName>
    <definedName name="LastTable.rowindex" localSheetId="0" hidden="1">#REF!</definedName>
    <definedName name="LastTable.rowindex.dirn" localSheetId="0" hidden="1">"row"</definedName>
    <definedName name="MUHASEBE1" localSheetId="0">input!$AT$4:$AT$21</definedName>
    <definedName name="MUHASEBE1.dirn" localSheetId="0" hidden="1">"row"</definedName>
    <definedName name="MUHASEBE2" localSheetId="0">input!$AU$4:$AU$21</definedName>
    <definedName name="MUHASEBE2.dirn" localSheetId="0" hidden="1">"row"</definedName>
    <definedName name="OUTPUTBANKA1" localSheetId="0">#REF!</definedName>
    <definedName name="OUTPUTBANKA1.badindex" localSheetId="0" hidden="1">1</definedName>
    <definedName name="OUTPUTBANKA1.columnindex" localSheetId="0" hidden="1">#REF!</definedName>
    <definedName name="OUTPUTBANKA1.columnindex.dirn" localSheetId="0" hidden="1">"column"</definedName>
    <definedName name="OUTPUTBANKA1.firstindex" localSheetId="0" hidden="1">"column"</definedName>
    <definedName name="OUTPUTBANKA1.rowindex" localSheetId="0" hidden="1">#REF!</definedName>
    <definedName name="OUTPUTBANKA1.rowindex.dirn" localSheetId="0" hidden="1">"row"</definedName>
    <definedName name="OUTPUTBANKA2" localSheetId="0">#REF!</definedName>
    <definedName name="OUTPUTBANKA2.badindex" localSheetId="0" hidden="1">1</definedName>
    <definedName name="OUTPUTBANKA2.columnindex" localSheetId="0" hidden="1">#REF!</definedName>
    <definedName name="OUTPUTBANKA2.columnindex.dirn" localSheetId="0" hidden="1">"column"</definedName>
    <definedName name="OUTPUTBANKA2.firstindex" localSheetId="0" hidden="1">"column"</definedName>
    <definedName name="OUTPUTBANKA2.rowindex" localSheetId="0" hidden="1">#REF!</definedName>
    <definedName name="OUTPUTBANKA2.rowindex.dirn" localSheetId="0" hidden="1">"row"</definedName>
    <definedName name="OUTPUTDIS1" localSheetId="0">#REF!</definedName>
    <definedName name="OUTPUTDIS1.badindex" localSheetId="0" hidden="1">1</definedName>
    <definedName name="OUTPUTDIS1.columnindex" localSheetId="0" hidden="1">#REF!</definedName>
    <definedName name="OUTPUTDIS1.columnindex.dirn" localSheetId="0" hidden="1">"column"</definedName>
    <definedName name="OUTPUTDIS1.firstindex" localSheetId="0" hidden="1">"column"</definedName>
    <definedName name="OUTPUTDIS1.rowindex" localSheetId="0" hidden="1">#REF!</definedName>
    <definedName name="OUTPUTDIS1.rowindex.dirn" localSheetId="0" hidden="1">"row"</definedName>
    <definedName name="OUTPUTDIS2" localSheetId="0">#REF!</definedName>
    <definedName name="OUTPUTDIS2.badindex" localSheetId="0" hidden="1">1</definedName>
    <definedName name="OUTPUTDIS2.columnindex" localSheetId="0" hidden="1">#REF!</definedName>
    <definedName name="OUTPUTDIS2.columnindex.dirn" localSheetId="0" hidden="1">"column"</definedName>
    <definedName name="OUTPUTDIS2.firstindex" localSheetId="0" hidden="1">"column"</definedName>
    <definedName name="OUTPUTDIS2.rowindex" localSheetId="0" hidden="1">#REF!</definedName>
    <definedName name="OUTPUTDIS2.rowindex.dirn" localSheetId="0" hidden="1">"row"</definedName>
    <definedName name="OUTPUTEMLAK1" localSheetId="0">#REF!</definedName>
    <definedName name="OUTPUTEMLAK1.badindex" localSheetId="0" hidden="1">1</definedName>
    <definedName name="OUTPUTEMLAK1.columnindex" localSheetId="0" hidden="1">#REF!</definedName>
    <definedName name="OUTPUTEMLAK1.columnindex.dirn" localSheetId="0" hidden="1">"column"</definedName>
    <definedName name="OUTPUTEMLAK1.firstindex" localSheetId="0" hidden="1">"column"</definedName>
    <definedName name="OUTPUTEMLAK1.rowindex" localSheetId="0" hidden="1">#REF!</definedName>
    <definedName name="OUTPUTEMLAK1.rowindex.dirn" localSheetId="0" hidden="1">"row"</definedName>
    <definedName name="OUTPUTEMLAK2" localSheetId="0">#REF!</definedName>
    <definedName name="OUTPUTEMLAK2.badindex" localSheetId="0" hidden="1">1</definedName>
    <definedName name="OUTPUTEMLAK2.columnindex" localSheetId="0" hidden="1">#REF!</definedName>
    <definedName name="OUTPUTEMLAK2.columnindex.dirn" localSheetId="0" hidden="1">"column"</definedName>
    <definedName name="OUTPUTEMLAK2.firstindex" localSheetId="0" hidden="1">"column"</definedName>
    <definedName name="OUTPUTEMLAK2.rowindex" localSheetId="0" hidden="1">#REF!</definedName>
    <definedName name="OUTPUTEMLAK2.rowindex.dirn" localSheetId="0" hidden="1">"row"</definedName>
    <definedName name="OUTPUTISLETME1" localSheetId="0">#REF!</definedName>
    <definedName name="OUTPUTISLETME1.badindex" localSheetId="0" hidden="1">1</definedName>
    <definedName name="OUTPUTISLETME1.columnindex" localSheetId="0" hidden="1">#REF!</definedName>
    <definedName name="OUTPUTISLETME1.columnindex.dirn" localSheetId="0" hidden="1">"column"</definedName>
    <definedName name="OUTPUTISLETME1.firstindex" localSheetId="0" hidden="1">"column"</definedName>
    <definedName name="OUTPUTISLETME1.rowindex" localSheetId="0" hidden="1">#REF!</definedName>
    <definedName name="OUTPUTISLETME1.rowindex.dirn" localSheetId="0" hidden="1">"row"</definedName>
    <definedName name="OUTPUTISLETME2" localSheetId="0">#REF!</definedName>
    <definedName name="OUTPUTISLETME2.badindex" localSheetId="0" hidden="1">1</definedName>
    <definedName name="OUTPUTISLETME2.columnindex" localSheetId="0" hidden="1">#REF!</definedName>
    <definedName name="OUTPUTISLETME2.columnindex.dirn" localSheetId="0" hidden="1">"column"</definedName>
    <definedName name="OUTPUTISLETME2.firstindex" localSheetId="0" hidden="1">"column"</definedName>
    <definedName name="OUTPUTISLETME2.rowindex" localSheetId="0" hidden="1">#REF!</definedName>
    <definedName name="OUTPUTISLETME2.rowindex.dirn" localSheetId="0" hidden="1">"row"</definedName>
    <definedName name="OUTPUTMUHASEBE1" localSheetId="0">#REF!</definedName>
    <definedName name="OUTPUTMUHASEBE1.badindex" localSheetId="0" hidden="1">1</definedName>
    <definedName name="OUTPUTMUHASEBE1.columnindex" localSheetId="0" hidden="1">#REF!</definedName>
    <definedName name="OUTPUTMUHASEBE1.columnindex.dirn" localSheetId="0" hidden="1">"column"</definedName>
    <definedName name="OUTPUTMUHASEBE1.firstindex" localSheetId="0" hidden="1">"column"</definedName>
    <definedName name="OUTPUTMUHASEBE1.rowindex" localSheetId="0" hidden="1">#REF!</definedName>
    <definedName name="OUTPUTMUHASEBE1.rowindex.dirn" localSheetId="0" hidden="1">"row"</definedName>
    <definedName name="OUTPUTMUHASEBE2" localSheetId="0">#REF!</definedName>
    <definedName name="OUTPUTMUHASEBE2.badindex" localSheetId="0" hidden="1">1</definedName>
    <definedName name="OUTPUTMUHASEBE2.columnindex" localSheetId="0" hidden="1">#REF!</definedName>
    <definedName name="OUTPUTMUHASEBE2.columnindex.dirn" localSheetId="0" hidden="1">"column"</definedName>
    <definedName name="OUTPUTMUHASEBE2.firstindex" localSheetId="0" hidden="1">"column"</definedName>
    <definedName name="OUTPUTMUHASEBE2.rowindex" localSheetId="0" hidden="1">#REF!</definedName>
    <definedName name="OUTPUTMUHASEBE2.rowindex.dirn" localSheetId="0" hidden="1">"row"</definedName>
    <definedName name="OUTPUTPAZARLAMA1" localSheetId="0">#REF!</definedName>
    <definedName name="OUTPUTPAZARLAMA1.badindex" localSheetId="0" hidden="1">1</definedName>
    <definedName name="OUTPUTPAZARLAMA1.columnindex" localSheetId="0" hidden="1">#REF!</definedName>
    <definedName name="OUTPUTPAZARLAMA1.columnindex.dirn" localSheetId="0" hidden="1">"column"</definedName>
    <definedName name="OUTPUTPAZARLAMA1.firstindex" localSheetId="0" hidden="1">"column"</definedName>
    <definedName name="OUTPUTPAZARLAMA1.rowindex" localSheetId="0" hidden="1">#REF!</definedName>
    <definedName name="OUTPUTPAZARLAMA1.rowindex.dirn" localSheetId="0" hidden="1">"row"</definedName>
    <definedName name="OUTPUTPAZARLAMA2" localSheetId="0">#REF!</definedName>
    <definedName name="OUTPUTPAZARLAMA2.badindex" localSheetId="0" hidden="1">1</definedName>
    <definedName name="OUTPUTPAZARLAMA2.columnindex" localSheetId="0" hidden="1">#REF!</definedName>
    <definedName name="OUTPUTPAZARLAMA2.columnindex.dirn" localSheetId="0" hidden="1">"column"</definedName>
    <definedName name="OUTPUTPAZARLAMA2.firstindex" localSheetId="0" hidden="1">"column"</definedName>
    <definedName name="OUTPUTPAZARLAMA2.rowindex" localSheetId="0" hidden="1">#REF!</definedName>
    <definedName name="OUTPUTPAZARLAMA2.rowindex.dirn" localSheetId="0" hidden="1">"row"</definedName>
    <definedName name="OUTPUTTURIZM1" localSheetId="0">#REF!</definedName>
    <definedName name="OUTPUTTURIZM1.badindex" localSheetId="0" hidden="1">1</definedName>
    <definedName name="OUTPUTTURIZM1.columnindex" localSheetId="0" hidden="1">#REF!</definedName>
    <definedName name="OUTPUTTURIZM1.columnindex.dirn" localSheetId="0" hidden="1">"column"</definedName>
    <definedName name="OUTPUTTURIZM1.firstindex" localSheetId="0" hidden="1">"column"</definedName>
    <definedName name="OUTPUTTURIZM1.rowindex" localSheetId="0" hidden="1">#REF!</definedName>
    <definedName name="OUTPUTTURIZM1.rowindex.dirn" localSheetId="0" hidden="1">"row"</definedName>
    <definedName name="OUTPUTTURIZM2" localSheetId="0">#REF!</definedName>
    <definedName name="OUTPUTTURIZM2.badindex" localSheetId="0" hidden="1">1</definedName>
    <definedName name="OUTPUTTURIZM2.columnindex" localSheetId="0" hidden="1">#REF!</definedName>
    <definedName name="OUTPUTTURIZM2.columnindex.dirn" localSheetId="0" hidden="1">"column"</definedName>
    <definedName name="OUTPUTTURIZM2.firstindex" localSheetId="0" hidden="1">"column"</definedName>
    <definedName name="OUTPUTTURIZM2.rowindex" localSheetId="0" hidden="1">#REF!</definedName>
    <definedName name="OUTPUTTURIZM2.rowindex.dirn" localSheetId="0" hidden="1">"row"</definedName>
    <definedName name="PAZARLAMA1" localSheetId="0">input!$AN$4:$AN$21</definedName>
    <definedName name="PAZARLAMA1.dirn" localSheetId="0" hidden="1">"row"</definedName>
    <definedName name="PAZARLAMA2" localSheetId="0">input!$AO$4:$AO$21</definedName>
    <definedName name="PAZARLAMA2.dirn" localSheetId="0" hidden="1">"row"</definedName>
    <definedName name="_xlnm.Print_Area" localSheetId="0">input!$A$1:$AY$288</definedName>
    <definedName name="SameTimeCoursesArray1" localSheetId="0">input!$V$4:$V$203</definedName>
    <definedName name="SameTimeCoursesArray1.dirn" localSheetId="0" hidden="1">"row"</definedName>
    <definedName name="SameTimeCoursesArray2" localSheetId="0">input!$W$4:$W$203</definedName>
    <definedName name="SameTimeCoursesArray2.dirn" localSheetId="0" hidden="1">"row"</definedName>
    <definedName name="SameTimeList" localSheetId="0">input!$V$4:$Y$203</definedName>
    <definedName name="SameTimeList.badindex" localSheetId="0" hidden="1">1</definedName>
    <definedName name="SameTimeList.columnindex" localSheetId="0" hidden="1">input!$V$3:$Y$3</definedName>
    <definedName name="SameTimeList.columnindex.dirn" localSheetId="0" hidden="1">"column"</definedName>
    <definedName name="SameTimeList.firstindex" localSheetId="0" hidden="1">"row"</definedName>
    <definedName name="SameTimeList.rowindex" localSheetId="0" hidden="1">input!$U$4:$U$203</definedName>
    <definedName name="SameTimeList.rowindex.dirn" localSheetId="0" hidden="1">"row"</definedName>
    <definedName name="SameTimeListIndex" localSheetId="0">input!$U$4:$U$203</definedName>
    <definedName name="SameTimeListIndex.dirn" localSheetId="0" hidden="1">"row"</definedName>
    <definedName name="School" localSheetId="0">input!$AY$3:$AY$16</definedName>
    <definedName name="School.dirn" localSheetId="0" hidden="1">"row"</definedName>
    <definedName name="Seniority" localSheetId="1">asistan!$C$4:$C$41</definedName>
    <definedName name="Seniority.badindex" localSheetId="1" hidden="1">1</definedName>
    <definedName name="Seniority.columnindex" localSheetId="1" hidden="1">asistan!$C$3</definedName>
    <definedName name="Seniority.columnindex.dirn" localSheetId="1" hidden="1">"column"</definedName>
    <definedName name="Seniority.firstindex" localSheetId="1" hidden="1">"row"</definedName>
    <definedName name="Seniority.rowindex" localSheetId="1" hidden="1">asistan!$A$4:$A$41</definedName>
    <definedName name="Seniority.rowindex.dirn" localSheetId="1" hidden="1">"row"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input!#REF!</definedName>
    <definedName name="solver_typ" localSheetId="0" hidden="1">1</definedName>
    <definedName name="solver_val" localSheetId="0" hidden="1">0</definedName>
    <definedName name="solver_ver" localSheetId="0" hidden="1">3</definedName>
    <definedName name="TimeInterval" localSheetId="1">asistan!$K$4:$K$23</definedName>
    <definedName name="TimeInterval" localSheetId="0">input!$L$22:$L$39</definedName>
    <definedName name="TimeInterval.dirn" localSheetId="1" hidden="1">"row"</definedName>
    <definedName name="TimeInterval.dirn" localSheetId="0" hidden="1">"row"</definedName>
    <definedName name="TimeInterval2" localSheetId="0">input!$AZ$4:$AZ$12</definedName>
    <definedName name="TimeInterval2.dirn" localSheetId="0" hidden="1">"row"</definedName>
    <definedName name="Total" localSheetId="1">asistan!$D$1</definedName>
    <definedName name="TotalAssignment" localSheetId="1">asistan!$D$4:$D$41</definedName>
    <definedName name="TotalAssignment.badindex" localSheetId="1" hidden="1">1</definedName>
    <definedName name="TotalAssignment.columnindex" localSheetId="1" hidden="1">asistan!$D$3</definedName>
    <definedName name="TotalAssignment.columnindex.dirn" localSheetId="1" hidden="1">"column"</definedName>
    <definedName name="TotalAssignment.firstindex" localSheetId="1" hidden="1">"row"</definedName>
    <definedName name="TotalAssignment.rowindex" localSheetId="1" hidden="1">asistan!$A$4:$A$41</definedName>
    <definedName name="TotalAssignment.rowindex.dirn" localSheetId="1" hidden="1">"row"</definedName>
    <definedName name="TURIZM1" localSheetId="0">input!$AW$4:$AW$21</definedName>
    <definedName name="TURIZM1.dirn" localSheetId="0" hidden="1">"row"</definedName>
    <definedName name="TURIZM2" localSheetId="0">input!$AX$4:$AX$21</definedName>
    <definedName name="TURIZM2.dirn" localSheetId="0" hidden="1">"row"</definedName>
    <definedName name="UndesiredDays" localSheetId="1">asistan!$N$4:$AB$41</definedName>
    <definedName name="UndesiredDays.badindex" localSheetId="1" hidden="1">1</definedName>
    <definedName name="UndesiredDays.columnindex" localSheetId="1" hidden="1">asistan!$N$3:$AB$3</definedName>
    <definedName name="UndesiredDays.columnindex.dirn" localSheetId="1" hidden="1">"column"</definedName>
    <definedName name="UndesiredDays.firstindex" localSheetId="1" hidden="1">"row"</definedName>
    <definedName name="UndesiredDays.rowindex" localSheetId="1" hidden="1">asistan!$M$4:$M$41</definedName>
    <definedName name="UndesiredDays.rowindex.dirn" localSheetId="1" hidden="1">"row"</definedName>
    <definedName name="Z03." localSheetId="1">#REF!</definedName>
    <definedName name="Z03.badindex" localSheetId="1" hidden="1">1</definedName>
    <definedName name="Z03.columnindex" localSheetId="1" hidden="1">#REF!</definedName>
    <definedName name="Z03.columnindex.dirn" localSheetId="1" hidden="1">"column"</definedName>
    <definedName name="Z03.firstindex" localSheetId="1" hidden="1">"row"</definedName>
    <definedName name="Z03.rowindex" localSheetId="1" hidden="1">#REF!</definedName>
    <definedName name="Z03.rowindex.dirn" localSheetId="1" hidden="1">"row"</definedName>
    <definedName name="Z03DAYS" localSheetId="0">#REF!</definedName>
    <definedName name="Z03DAYS.dirn" localSheetId="0" hidden="1">"column"</definedName>
    <definedName name="Z03TABLE" localSheetId="0">#REF!</definedName>
    <definedName name="Z03TABLE.badindex" localSheetId="0" hidden="1">1</definedName>
    <definedName name="Z03TABLE.columnindex" localSheetId="0" hidden="1">#REF!</definedName>
    <definedName name="Z03TABLE.columnindex.dirn" localSheetId="0" hidden="1">"column"</definedName>
    <definedName name="Z03TABLE.firstindex" localSheetId="0" hidden="1">"column"</definedName>
    <definedName name="Z03TABLE.rowindex" localSheetId="0" hidden="1">#REF!</definedName>
    <definedName name="Z03TABLE.rowindex.dirn" localSheetId="0" hidden="1">"row"</definedName>
    <definedName name="Z03TIMEINTERVAL" localSheetId="0">#REF!</definedName>
    <definedName name="Z03TIMEINTERVAL.dirn" localSheetId="0" hidden="1">"row"</definedName>
    <definedName name="Z04." localSheetId="1">#REF!</definedName>
    <definedName name="Z04.badindex" localSheetId="1" hidden="1">1</definedName>
    <definedName name="Z04.columnindex" localSheetId="1" hidden="1">#REF!</definedName>
    <definedName name="Z04.columnindex.dirn" localSheetId="1" hidden="1">"column"</definedName>
    <definedName name="Z04.firstindex" localSheetId="1" hidden="1">"row"</definedName>
    <definedName name="Z04.rowindex" localSheetId="1" hidden="1">#REF!</definedName>
    <definedName name="Z04.rowindex.dirn" localSheetId="1" hidden="1">"row"</definedName>
    <definedName name="Z04DAYS" localSheetId="0">#REF!</definedName>
    <definedName name="Z04DAYS.dirn" localSheetId="0" hidden="1">"column"</definedName>
    <definedName name="Z04TABLE" localSheetId="0">#REF!</definedName>
    <definedName name="Z04TABLE.badindex" localSheetId="0" hidden="1">1</definedName>
    <definedName name="Z04TABLE.columnindex" localSheetId="0" hidden="1">#REF!</definedName>
    <definedName name="Z04TABLE.columnindex.dirn" localSheetId="0" hidden="1">"column"</definedName>
    <definedName name="Z04TABLE.firstindex" localSheetId="0" hidden="1">"column"</definedName>
    <definedName name="Z04TABLE.rowindex" localSheetId="0" hidden="1">#REF!</definedName>
    <definedName name="Z04TABLE.rowindex.dirn" localSheetId="0" hidden="1">"row"</definedName>
    <definedName name="Z04TIMEINTERVAL" localSheetId="0">#REF!</definedName>
    <definedName name="Z04TIMEINTERVAL.dirn" localSheetId="0" hidden="1">"row"</definedName>
    <definedName name="Z05." localSheetId="1">#REF!</definedName>
    <definedName name="Z05.badindex" localSheetId="1" hidden="1">1</definedName>
    <definedName name="Z05.columnindex" localSheetId="1" hidden="1">#REF!</definedName>
    <definedName name="Z05.columnindex.dirn" localSheetId="1" hidden="1">"column"</definedName>
    <definedName name="Z05.firstindex" localSheetId="1" hidden="1">"row"</definedName>
    <definedName name="Z05.rowindex" localSheetId="1" hidden="1">#REF!</definedName>
    <definedName name="Z05.rowindex.dirn" localSheetId="1" hidden="1">"row"</definedName>
    <definedName name="Z05DAYS" localSheetId="0">#REF!</definedName>
    <definedName name="Z05DAYS.dirn" localSheetId="0" hidden="1">"column"</definedName>
    <definedName name="Z05TABLE" localSheetId="0">#REF!</definedName>
    <definedName name="Z05TABLE.badindex" localSheetId="0" hidden="1">1</definedName>
    <definedName name="Z05TABLE.columnindex" localSheetId="0" hidden="1">#REF!</definedName>
    <definedName name="Z05TABLE.columnindex.dirn" localSheetId="0" hidden="1">"column"</definedName>
    <definedName name="Z05TABLE.firstindex" localSheetId="0" hidden="1">"column"</definedName>
    <definedName name="Z05TABLE.rowindex" localSheetId="0" hidden="1">#REF!</definedName>
    <definedName name="Z05TABLE.rowindex.dirn" localSheetId="0" hidden="1">"row"</definedName>
    <definedName name="Z05TIMEINTERVAL" localSheetId="0">#REF!</definedName>
    <definedName name="Z05TIMEINTERVAL.dirn" localSheetId="0" hidden="1">"row"</definedName>
    <definedName name="Z06." localSheetId="1">#REF!</definedName>
    <definedName name="Z06.badindex" localSheetId="1" hidden="1">1</definedName>
    <definedName name="Z06.columnindex" localSheetId="1" hidden="1">#REF!</definedName>
    <definedName name="Z06.columnindex.dirn" localSheetId="1" hidden="1">"column"</definedName>
    <definedName name="Z06.firstindex" localSheetId="1" hidden="1">"row"</definedName>
    <definedName name="Z06.rowindex" localSheetId="1" hidden="1">#REF!</definedName>
    <definedName name="Z06.rowindex.dirn" localSheetId="1" hidden="1">"row"</definedName>
    <definedName name="Z06DAYS" localSheetId="0">#REF!</definedName>
    <definedName name="Z06DAYS.dirn" localSheetId="0" hidden="1">"column"</definedName>
    <definedName name="Z06TABLE" localSheetId="0">#REF!</definedName>
    <definedName name="Z06TABLE.badindex" localSheetId="0" hidden="1">1</definedName>
    <definedName name="Z06TABLE.columnindex" localSheetId="0" hidden="1">#REF!</definedName>
    <definedName name="Z06TABLE.columnindex.dirn" localSheetId="0" hidden="1">"column"</definedName>
    <definedName name="Z06TABLE.firstindex" localSheetId="0" hidden="1">"column"</definedName>
    <definedName name="Z06TABLE.rowindex" localSheetId="0" hidden="1">#REF!</definedName>
    <definedName name="Z06TABLE.rowindex.dirn" localSheetId="0" hidden="1">"row"</definedName>
    <definedName name="Z06TIMEINTERVAL" localSheetId="0">#REF!</definedName>
    <definedName name="Z06TIMEINTERVAL.dirn" localSheetId="0" hidden="1">"row"</definedName>
    <definedName name="Z07." localSheetId="1">#REF!</definedName>
    <definedName name="Z07.badindex" localSheetId="1" hidden="1">1</definedName>
    <definedName name="Z07.columnindex" localSheetId="1" hidden="1">#REF!</definedName>
    <definedName name="Z07.columnindex.dirn" localSheetId="1" hidden="1">"column"</definedName>
    <definedName name="Z07.firstindex" localSheetId="1" hidden="1">"row"</definedName>
    <definedName name="Z07.rowindex" localSheetId="1" hidden="1">#REF!</definedName>
    <definedName name="Z07.rowindex.dirn" localSheetId="1" hidden="1">"row"</definedName>
    <definedName name="Z07DAYS" localSheetId="0">#REF!</definedName>
    <definedName name="Z07DAYS.dirn" localSheetId="0" hidden="1">"column"</definedName>
    <definedName name="Z07TABLE" localSheetId="0">#REF!</definedName>
    <definedName name="Z07TABLE.badindex" localSheetId="0" hidden="1">1</definedName>
    <definedName name="Z07TABLE.columnindex" localSheetId="0" hidden="1">#REF!</definedName>
    <definedName name="Z07TABLE.columnindex.dirn" localSheetId="0" hidden="1">"column"</definedName>
    <definedName name="Z07TABLE.firstindex" localSheetId="0" hidden="1">"column"</definedName>
    <definedName name="Z07TABLE.rowindex" localSheetId="0" hidden="1">#REF!</definedName>
    <definedName name="Z07TABLE.rowindex.dirn" localSheetId="0" hidden="1">"row"</definedName>
    <definedName name="Z07TIMEINTERVAL" localSheetId="0">#REF!</definedName>
    <definedName name="Z07TIMEINTERVAL.dirn" localSheetId="0" hidden="1">"row"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72" i="11" l="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12" i="11"/>
  <c r="H11" i="11"/>
  <c r="H10" i="11"/>
  <c r="H9" i="11"/>
  <c r="H8" i="11"/>
  <c r="H7" i="11"/>
  <c r="H6" i="11"/>
  <c r="H5" i="11"/>
  <c r="H4" i="11"/>
  <c r="H3" i="11"/>
  <c r="H2" i="11"/>
  <c r="D42" i="6" l="1"/>
  <c r="A42" i="6"/>
  <c r="C1" i="6" l="1"/>
  <c r="D43" i="6" s="1"/>
  <c r="H174" i="1" l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AK54" i="1" l="1"/>
  <c r="AK53" i="1"/>
  <c r="AK52" i="1"/>
  <c r="AL51" i="1"/>
  <c r="AK51" i="1"/>
  <c r="AL50" i="1"/>
  <c r="AK50" i="1"/>
  <c r="AH50" i="1"/>
  <c r="AT49" i="1"/>
  <c r="AR49" i="1"/>
  <c r="AL49" i="1"/>
  <c r="AK49" i="1"/>
  <c r="AH49" i="1"/>
  <c r="AU48" i="1"/>
  <c r="AT48" i="1"/>
  <c r="AR48" i="1"/>
  <c r="AL48" i="1"/>
  <c r="AK48" i="1"/>
  <c r="AI48" i="1"/>
  <c r="AH48" i="1"/>
  <c r="AW47" i="1"/>
  <c r="AU47" i="1"/>
  <c r="AT47" i="1"/>
  <c r="AR47" i="1"/>
  <c r="AO47" i="1"/>
  <c r="AL47" i="1"/>
  <c r="AK47" i="1"/>
  <c r="AI47" i="1"/>
  <c r="AH47" i="1"/>
  <c r="AF47" i="1"/>
  <c r="AE47" i="1"/>
  <c r="AW46" i="1"/>
  <c r="AU46" i="1"/>
  <c r="AT46" i="1"/>
  <c r="AR46" i="1"/>
  <c r="AO46" i="1"/>
  <c r="AN46" i="1"/>
  <c r="AL46" i="1"/>
  <c r="AK46" i="1"/>
  <c r="AI46" i="1"/>
  <c r="AH46" i="1"/>
  <c r="AF46" i="1"/>
  <c r="AE46" i="1"/>
  <c r="AX45" i="1"/>
  <c r="AW45" i="1"/>
  <c r="AU45" i="1"/>
  <c r="AT45" i="1"/>
  <c r="AR45" i="1"/>
  <c r="AQ45" i="1"/>
  <c r="AO45" i="1"/>
  <c r="AN45" i="1"/>
  <c r="AL45" i="1"/>
  <c r="AK45" i="1"/>
  <c r="AI45" i="1"/>
  <c r="AH45" i="1"/>
  <c r="AF45" i="1"/>
  <c r="AE45" i="1"/>
  <c r="AX44" i="1"/>
  <c r="AW44" i="1"/>
  <c r="AU44" i="1"/>
  <c r="AT44" i="1"/>
  <c r="AR44" i="1"/>
  <c r="AQ44" i="1"/>
  <c r="AO44" i="1"/>
  <c r="AN44" i="1"/>
  <c r="AL44" i="1"/>
  <c r="AK44" i="1"/>
  <c r="AI44" i="1"/>
  <c r="AH44" i="1"/>
  <c r="AF44" i="1"/>
  <c r="AE44" i="1"/>
  <c r="AX43" i="1"/>
  <c r="AW43" i="1"/>
  <c r="AU43" i="1"/>
  <c r="AT43" i="1"/>
  <c r="AR43" i="1"/>
  <c r="AQ43" i="1"/>
  <c r="AO43" i="1"/>
  <c r="AN43" i="1"/>
  <c r="AL43" i="1"/>
  <c r="AK43" i="1"/>
  <c r="AI43" i="1"/>
  <c r="AH43" i="1"/>
  <c r="AF43" i="1"/>
  <c r="AE43" i="1"/>
  <c r="AX42" i="1"/>
  <c r="AW42" i="1"/>
  <c r="AU42" i="1"/>
  <c r="AT42" i="1"/>
  <c r="AR42" i="1"/>
  <c r="AQ42" i="1"/>
  <c r="AO42" i="1"/>
  <c r="AN42" i="1"/>
  <c r="AL42" i="1"/>
  <c r="AK42" i="1"/>
  <c r="AI42" i="1"/>
  <c r="AH42" i="1"/>
  <c r="AF42" i="1"/>
  <c r="AE42" i="1"/>
  <c r="AX41" i="1"/>
  <c r="AW41" i="1"/>
  <c r="AU41" i="1"/>
  <c r="AT41" i="1"/>
  <c r="AR41" i="1"/>
  <c r="AQ41" i="1"/>
  <c r="AO41" i="1"/>
  <c r="AN41" i="1"/>
  <c r="AL41" i="1"/>
  <c r="AK41" i="1"/>
  <c r="AI41" i="1"/>
  <c r="AH41" i="1"/>
  <c r="AF41" i="1"/>
  <c r="AE41" i="1"/>
  <c r="AX40" i="1"/>
  <c r="AW40" i="1"/>
  <c r="AU40" i="1"/>
  <c r="AT40" i="1"/>
  <c r="AR40" i="1"/>
  <c r="AQ40" i="1"/>
  <c r="AO40" i="1"/>
  <c r="AN40" i="1"/>
  <c r="AL40" i="1"/>
  <c r="AK40" i="1"/>
  <c r="AI40" i="1"/>
  <c r="AH40" i="1"/>
  <c r="AF40" i="1"/>
  <c r="AE40" i="1"/>
  <c r="AX39" i="1"/>
  <c r="AW39" i="1"/>
  <c r="AU39" i="1"/>
  <c r="AT39" i="1"/>
  <c r="AR39" i="1"/>
  <c r="AQ39" i="1"/>
  <c r="AO39" i="1"/>
  <c r="AN39" i="1"/>
  <c r="AL39" i="1"/>
  <c r="AK39" i="1"/>
  <c r="AI39" i="1"/>
  <c r="AH39" i="1"/>
  <c r="AF39" i="1"/>
  <c r="AE39" i="1"/>
  <c r="AX38" i="1"/>
  <c r="AW38" i="1"/>
  <c r="AU38" i="1"/>
  <c r="AT38" i="1"/>
  <c r="AR38" i="1"/>
  <c r="AQ38" i="1"/>
  <c r="AO38" i="1"/>
  <c r="AN38" i="1"/>
  <c r="AL38" i="1"/>
  <c r="AK38" i="1"/>
  <c r="AI38" i="1"/>
  <c r="AH38" i="1"/>
  <c r="AF38" i="1"/>
  <c r="AE38" i="1"/>
  <c r="AX37" i="1"/>
  <c r="AW37" i="1"/>
  <c r="AU37" i="1"/>
  <c r="AT37" i="1"/>
  <c r="AR37" i="1"/>
  <c r="AQ37" i="1"/>
  <c r="AO37" i="1"/>
  <c r="AN37" i="1"/>
  <c r="AL37" i="1"/>
  <c r="AK37" i="1"/>
  <c r="AI37" i="1"/>
  <c r="AH37" i="1"/>
  <c r="AF37" i="1"/>
  <c r="AE37" i="1"/>
</calcChain>
</file>

<file path=xl/comments1.xml><?xml version="1.0" encoding="utf-8"?>
<comments xmlns="http://schemas.openxmlformats.org/spreadsheetml/2006/main">
  <authors>
    <author>ytusc</author>
    <author>Mustafa</author>
    <author>ASUS</author>
  </authors>
  <commentList>
    <comment ref="V1" authorId="0" shapeId="0">
      <text>
        <r>
          <rPr>
            <b/>
            <sz val="9"/>
            <color indexed="81"/>
            <rFont val="Tahoma"/>
            <family val="2"/>
            <charset val="162"/>
          </rPr>
          <t>ytusc:</t>
        </r>
        <r>
          <rPr>
            <sz val="9"/>
            <color indexed="81"/>
            <rFont val="Tahoma"/>
            <family val="2"/>
            <charset val="162"/>
          </rPr>
          <t xml:space="preserve">
Aynı departmanın dersleri aynı anda olamaz. Ancak burada verilen listedekiler (ikame dersler gibi) aynı anda olacaktır. 
</t>
        </r>
      </text>
    </comment>
    <comment ref="D2" authorId="0" shapeId="0">
      <text>
        <r>
          <rPr>
            <b/>
            <sz val="11"/>
            <color indexed="81"/>
            <rFont val="Tahoma"/>
            <family val="2"/>
            <charset val="162"/>
          </rPr>
          <t>ytusc:</t>
        </r>
        <r>
          <rPr>
            <sz val="11"/>
            <color indexed="81"/>
            <rFont val="Tahoma"/>
            <family val="2"/>
            <charset val="162"/>
          </rPr>
          <t xml:space="preserve">
eğer dersler 66dan büyükse 1 yazılmalı
66n ya da daha küçükse 0 yazılmalıu</t>
        </r>
      </text>
    </comment>
    <comment ref="E2" authorId="1" shapeId="0">
      <text>
        <r>
          <rPr>
            <b/>
            <sz val="9"/>
            <color indexed="81"/>
            <rFont val="Tahoma"/>
            <family val="2"/>
            <charset val="162"/>
          </rPr>
          <t>Mustafa:</t>
        </r>
        <r>
          <rPr>
            <sz val="9"/>
            <color indexed="81"/>
            <rFont val="Tahoma"/>
            <family val="2"/>
            <charset val="162"/>
          </rPr>
          <t xml:space="preserve">
Birinci öğretim ise 1
 değilse 2 yazalım. </t>
        </r>
      </text>
    </comment>
    <comment ref="F2" authorId="1" shapeId="0">
      <text>
        <r>
          <rPr>
            <b/>
            <sz val="9"/>
            <color indexed="81"/>
            <rFont val="Tahoma"/>
            <family val="2"/>
            <charset val="162"/>
          </rPr>
          <t>Mustafa:</t>
        </r>
        <r>
          <rPr>
            <sz val="9"/>
            <color indexed="81"/>
            <rFont val="Tahoma"/>
            <family val="2"/>
            <charset val="162"/>
          </rPr>
          <t xml:space="preserve">
Eğer sınav yarım saat ise 1, daha uzun ise 2 girelim. </t>
        </r>
      </text>
    </comment>
    <comment ref="G2" authorId="1" shapeId="0">
      <text>
        <r>
          <rPr>
            <b/>
            <sz val="9"/>
            <color indexed="81"/>
            <rFont val="Tahoma"/>
            <family val="2"/>
            <charset val="162"/>
          </rPr>
          <t>Mustafa:</t>
        </r>
        <r>
          <rPr>
            <sz val="9"/>
            <color indexed="81"/>
            <rFont val="Tahoma"/>
            <family val="2"/>
            <charset val="162"/>
          </rPr>
          <t xml:space="preserve">
Eğer LAB dersi ise 1, degilse 0 yazalım. </t>
        </r>
      </text>
    </comment>
    <comment ref="H2" authorId="1" shapeId="0">
      <text>
        <r>
          <rPr>
            <b/>
            <sz val="9"/>
            <color indexed="81"/>
            <rFont val="Tahoma"/>
            <family val="2"/>
            <charset val="162"/>
          </rPr>
          <t>Mustafa:</t>
        </r>
        <r>
          <rPr>
            <sz val="9"/>
            <color indexed="81"/>
            <rFont val="Tahoma"/>
            <family val="2"/>
            <charset val="162"/>
          </rPr>
          <t xml:space="preserve">
Eğeriki derslik ise 1, değilse 0 yazalım. </t>
        </r>
      </text>
    </comment>
    <comment ref="Y2" authorId="2" shapeId="0">
      <text>
        <r>
          <rPr>
            <b/>
            <sz val="9"/>
            <color indexed="81"/>
            <rFont val="Tahoma"/>
            <family val="2"/>
            <charset val="162"/>
          </rPr>
          <t>ASUS:</t>
        </r>
        <r>
          <rPr>
            <sz val="9"/>
            <color indexed="81"/>
            <rFont val="Tahoma"/>
            <family val="2"/>
            <charset val="162"/>
          </rPr>
          <t xml:space="preserve">
Eğer olmazsa olmaz olarak tanımlanıyorsa ders (hard) 1 girilmelidir.
Eğer olsa da olur olmasa da olur şeklinde giriyorsak (soft) olarak 0 olması yeterlidir.</t>
        </r>
      </text>
    </comment>
    <comment ref="AB2" authorId="0" shapeId="0">
      <text>
        <r>
          <rPr>
            <b/>
            <sz val="9"/>
            <color indexed="81"/>
            <rFont val="Tahoma"/>
            <family val="2"/>
            <charset val="162"/>
          </rPr>
          <t>ytusc:</t>
        </r>
        <r>
          <rPr>
            <sz val="9"/>
            <color indexed="81"/>
            <rFont val="Tahoma"/>
            <family val="2"/>
            <charset val="162"/>
          </rPr>
          <t xml:space="preserve">
Aynı departmanın dersleri aynı anda olamaz. Ancak burada verilen listedekiler (ikame dersler gibi) aynı anda olacaktır. 
</t>
        </r>
      </text>
    </comment>
  </commentList>
</comments>
</file>

<file path=xl/comments2.xml><?xml version="1.0" encoding="utf-8"?>
<comments xmlns="http://schemas.openxmlformats.org/spreadsheetml/2006/main">
  <authors>
    <author>ytusc</author>
    <author>Mustafa</author>
  </authors>
  <commentList>
    <comment ref="D1" authorId="0" shapeId="0">
      <text>
        <r>
          <rPr>
            <b/>
            <sz val="11"/>
            <color indexed="81"/>
            <rFont val="Tahoma"/>
            <family val="2"/>
            <charset val="162"/>
          </rPr>
          <t>ytusc:</t>
        </r>
        <r>
          <rPr>
            <sz val="11"/>
            <color indexed="81"/>
            <rFont val="Tahoma"/>
            <family val="2"/>
            <charset val="162"/>
          </rPr>
          <t xml:space="preserve">
eğer dersler 66dan büyükse 1 yazılmalı
66n ya da daha küçükse 0 yazılmalıu</t>
        </r>
      </text>
    </comment>
    <comment ref="E1" authorId="1" shapeId="0">
      <text>
        <r>
          <rPr>
            <b/>
            <sz val="9"/>
            <color indexed="81"/>
            <rFont val="Tahoma"/>
            <family val="2"/>
            <charset val="162"/>
          </rPr>
          <t>Mustafa:</t>
        </r>
        <r>
          <rPr>
            <sz val="9"/>
            <color indexed="81"/>
            <rFont val="Tahoma"/>
            <family val="2"/>
            <charset val="162"/>
          </rPr>
          <t xml:space="preserve">
Birinci öğretim ise 1
 değilse 2 yazalım. 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  <charset val="162"/>
          </rPr>
          <t>Mustafa:</t>
        </r>
        <r>
          <rPr>
            <sz val="9"/>
            <color indexed="81"/>
            <rFont val="Tahoma"/>
            <family val="2"/>
            <charset val="162"/>
          </rPr>
          <t xml:space="preserve">
Eğer sınav yarım saat ise 1, daha uzun ise 2 girelim. </t>
        </r>
      </text>
    </comment>
    <comment ref="G1" authorId="1" shapeId="0">
      <text>
        <r>
          <rPr>
            <b/>
            <sz val="9"/>
            <color indexed="81"/>
            <rFont val="Tahoma"/>
            <family val="2"/>
            <charset val="162"/>
          </rPr>
          <t>Mustafa:</t>
        </r>
        <r>
          <rPr>
            <sz val="9"/>
            <color indexed="81"/>
            <rFont val="Tahoma"/>
            <family val="2"/>
            <charset val="162"/>
          </rPr>
          <t xml:space="preserve">
Eğer LAB dersi ise 1, degilse 0 yazalım. 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  <charset val="162"/>
          </rPr>
          <t>Mustafa:</t>
        </r>
        <r>
          <rPr>
            <sz val="9"/>
            <color indexed="81"/>
            <rFont val="Tahoma"/>
            <family val="2"/>
            <charset val="162"/>
          </rPr>
          <t xml:space="preserve">
Eğeriki derslik ise 1, değilse 0 yazalım. </t>
        </r>
      </text>
    </comment>
  </commentList>
</comments>
</file>

<file path=xl/sharedStrings.xml><?xml version="1.0" encoding="utf-8"?>
<sst xmlns="http://schemas.openxmlformats.org/spreadsheetml/2006/main" count="943" uniqueCount="334">
  <si>
    <t>CLASSROOMS</t>
  </si>
  <si>
    <t>İŞLETME</t>
  </si>
  <si>
    <t>EMLAK</t>
  </si>
  <si>
    <t>cost1</t>
  </si>
  <si>
    <t>cost2</t>
  </si>
  <si>
    <t>BANKA</t>
  </si>
  <si>
    <t>cost3</t>
  </si>
  <si>
    <t>PAZARLAMA</t>
  </si>
  <si>
    <t>cost4</t>
  </si>
  <si>
    <t>DIŞ TİCARET</t>
  </si>
  <si>
    <t>cost5</t>
  </si>
  <si>
    <t>MUHASEBE</t>
  </si>
  <si>
    <t>cost6</t>
  </si>
  <si>
    <t>TURİZM</t>
  </si>
  <si>
    <t>cost7</t>
  </si>
  <si>
    <t>Z03</t>
  </si>
  <si>
    <t>Z04</t>
  </si>
  <si>
    <t>Z05</t>
  </si>
  <si>
    <t>Z06</t>
  </si>
  <si>
    <t>Z07</t>
  </si>
  <si>
    <t>LAB1</t>
  </si>
  <si>
    <t>LAB</t>
  </si>
  <si>
    <t>LAB2</t>
  </si>
  <si>
    <t>LAB3</t>
  </si>
  <si>
    <t>LAB4</t>
  </si>
  <si>
    <t>cost8</t>
  </si>
  <si>
    <t>cost9</t>
  </si>
  <si>
    <t>cost10</t>
  </si>
  <si>
    <t>cost11</t>
  </si>
  <si>
    <t>cost12</t>
  </si>
  <si>
    <t>cost13</t>
  </si>
  <si>
    <t>cost14</t>
  </si>
  <si>
    <t xml:space="preserve">Lab mı? </t>
  </si>
  <si>
    <t>İki Derslik mi?</t>
  </si>
  <si>
    <t>Kaç Slot?</t>
  </si>
  <si>
    <t>Kacinci Ogretim?</t>
  </si>
  <si>
    <t>Ders Listesi</t>
  </si>
  <si>
    <t>Ders Kodu</t>
  </si>
  <si>
    <t>Mevcudu</t>
  </si>
  <si>
    <t>İstisnalar</t>
  </si>
  <si>
    <t>Aynı anda olacak sınavlar</t>
  </si>
  <si>
    <t>Kapasite</t>
  </si>
  <si>
    <t>Derslikler</t>
  </si>
  <si>
    <t>Kodu</t>
  </si>
  <si>
    <t>Gün</t>
  </si>
  <si>
    <t>Slot</t>
  </si>
  <si>
    <t>1. Sınıf</t>
  </si>
  <si>
    <t>2.Sınıf</t>
  </si>
  <si>
    <t>İkinci Öğretim Slotları</t>
  </si>
  <si>
    <t>Yabancı Dil I (EMLAK)</t>
  </si>
  <si>
    <t>Mikro İktisat (EMLAK)</t>
  </si>
  <si>
    <t>İşletme (EMLAK)</t>
  </si>
  <si>
    <t>Temel Hukuk (EMLAK)</t>
  </si>
  <si>
    <t>Gayrimenkulde Temel Kavramlar (EMLAK)</t>
  </si>
  <si>
    <t>Matematik  (EMLAK)</t>
  </si>
  <si>
    <t>Bilgisayar I (EMLAK)</t>
  </si>
  <si>
    <t>Seminer (EMLAK)</t>
  </si>
  <si>
    <t>Pazarlama İlkeleri (EMLAK)</t>
  </si>
  <si>
    <t>Atatürk İlkeleri ve Inkılap Tarihi I (EMLAK)</t>
  </si>
  <si>
    <t>Türk Dili I (EMLAK)</t>
  </si>
  <si>
    <t>Emlak Pazarlama Yönetimi (EMLAK)</t>
  </si>
  <si>
    <t>Tapu Mevzuatı (EMLAK)</t>
  </si>
  <si>
    <t>İmar ve Belediye Mevzuatı (EMLAK)</t>
  </si>
  <si>
    <t>Genel Muhasebe (EMLAK)</t>
  </si>
  <si>
    <t>Bilgisayar II (EMLAK)</t>
  </si>
  <si>
    <t>İnsan Kaynakları Yönetimi (EMLAK)</t>
  </si>
  <si>
    <t>Sigortaya Giriş (EMLAK)</t>
  </si>
  <si>
    <t>Tüketici Davranışları (EMLAK)</t>
  </si>
  <si>
    <t xml:space="preserve">Girişimcilik ve Franchising </t>
  </si>
  <si>
    <t>Sermaye Piyasalarında Gayrimenkul Yatırımları  (EMLAK)</t>
  </si>
  <si>
    <t>Para ve Bankacılık  (EMLAK)</t>
  </si>
  <si>
    <t xml:space="preserve"> İŞLETME  ( İŞL )</t>
  </si>
  <si>
    <t>PAZARLAMA İLKELERİ ( İŞL )</t>
  </si>
  <si>
    <t>İKTİSAT ( İŞL )</t>
  </si>
  <si>
    <t>MUHASEBE I  ( İŞL )</t>
  </si>
  <si>
    <t>TEMEL HUKUK  ( İŞL )</t>
  </si>
  <si>
    <t>TİCARİ MATEMATİK  ( İŞL )</t>
  </si>
  <si>
    <t>BİLGİSAYAR I -  B ( İŞL )</t>
  </si>
  <si>
    <t>BİLGİSAYAR I -  A ( İŞL )</t>
  </si>
  <si>
    <t>ATATÜRK İLKELERİ VE İNKILAP TARİHİ I  ( İŞL )</t>
  </si>
  <si>
    <t>TÜRK DİLİ I ( İŞL ) ( Yabancı öğ.dahil)</t>
  </si>
  <si>
    <t>YABANCI DİL I ( İŞL )</t>
  </si>
  <si>
    <t>DAVRANIŞ BİLİMLERİ ( İŞL )</t>
  </si>
  <si>
    <t>ÇEVRE KORUMA ( İŞL )</t>
  </si>
  <si>
    <t xml:space="preserve">TOPLUMBİLİM ( İŞL )1SINIF </t>
  </si>
  <si>
    <t xml:space="preserve">MALİ TABLOLAR ANALİZİ( İŞL ) 2 SINIF </t>
  </si>
  <si>
    <t>İNSAN KAYNAKLARI YÖNETİMİ ( İŞL )</t>
  </si>
  <si>
    <t>İŞ ve SOSYAL GÜVENLİK HUKUKU ( İŞL )</t>
  </si>
  <si>
    <t>GİRİŞİMCİLİK VE KÜÇÜK İŞLETME YÖNETİMİ( İŞL )</t>
  </si>
  <si>
    <t>VERGİ HUKUKU ( İŞL )</t>
  </si>
  <si>
    <t>İŞLETME FİNANSMANI ( İŞL )</t>
  </si>
  <si>
    <t>TÜKETİCİ DAVRANIŞLARI ( İŞL )</t>
  </si>
  <si>
    <t>İŞ ETİĞİ ( İŞL )</t>
  </si>
  <si>
    <t>ŞİRKETLER MUHASEBESİ( İŞL )</t>
  </si>
  <si>
    <t>KAMU MALİYESİ  ( İŞL )</t>
  </si>
  <si>
    <t>MÜŞTERİ İLİŞKİLERİ YÖNETİMİ  ( İŞL )</t>
  </si>
  <si>
    <t>KURUMLAR SOSYOLOJİSİ  ( İŞL )</t>
  </si>
  <si>
    <t>Atatürk İlkeleri ve İnkılap Tarihi I  ( Banka)</t>
  </si>
  <si>
    <t>Türk Dili I   ( Banka)</t>
  </si>
  <si>
    <t>Yabancı Dil I ( Banka)</t>
  </si>
  <si>
    <t>Mikro İktisat  - çift ( Banka) M.Hakan Sağlam</t>
  </si>
  <si>
    <t>Mikro İktisat  - tek ( Banka) Selma Öner</t>
  </si>
  <si>
    <t>İşletme  - tek  B( Banka)  M.Hakan Sağlam</t>
  </si>
  <si>
    <t xml:space="preserve"> İşletme - çift A  ( Banka)  M.Hakan Sağlam</t>
  </si>
  <si>
    <t>Muhasebe I  ( Banka)  Adem Elikara</t>
  </si>
  <si>
    <t>Matematik  ( Banka)   Müfit Giresunlu</t>
  </si>
  <si>
    <t>Temel Hukuk  - tek  B ( Banka) Erkan Arslan</t>
  </si>
  <si>
    <t>Temel Hukuk  -çift    A ( Banka) Erkan Arslan</t>
  </si>
  <si>
    <t>Bilgisayar I A GRUBU Tolga Akagün</t>
  </si>
  <si>
    <t>Bilgisayar I B GRUBU  Minire Kırbaşlı</t>
  </si>
  <si>
    <t>Bilgisayar I  -TEK ( Banka)   Tolga Akagün</t>
  </si>
  <si>
    <t>Bilgisayar I  -ÇİFT   ( Banka)   Minire Kırbaşlı</t>
  </si>
  <si>
    <t>Bankacılığa Giriş  ( Banka)</t>
  </si>
  <si>
    <t>Sigortacılığa Giriş  -tek( Banka)  Metin Dermiray 1SINF</t>
  </si>
  <si>
    <t>Sigortacılığa Giriş  -çift2.öğr.dah  ( Banka)   Erkan Arslan</t>
  </si>
  <si>
    <t>İNSAN İLİŞKİLERİ VE İLETİŞİM YÖNTEMLERİ ( Banka)</t>
  </si>
  <si>
    <t>MESLEKİ YABANCI DİL I  A  ( Banka)</t>
  </si>
  <si>
    <t>MESLEKİ YABANCI DİL I  B  ( Banka)</t>
  </si>
  <si>
    <t>İSTATİSTİK ( Banka)</t>
  </si>
  <si>
    <t>İŞARET DİLİ ( Banka)</t>
  </si>
  <si>
    <t>HİZMET PAZARLAMASI  ( Banka)</t>
  </si>
  <si>
    <t>TİCARET HUKUKU   ( Banka)</t>
  </si>
  <si>
    <t>KREDİ TALEPLERİNİN DEĞERLENDİRMESİ  ( Banka)</t>
  </si>
  <si>
    <t>BANKA MUHASEBESİ  ( Banka)</t>
  </si>
  <si>
    <t>DIŞ TİCARET İŞLEMLERİ  ( Banka)</t>
  </si>
  <si>
    <t>YANGIN VE MÜHENDİSLİK SİGORTALARI  ( Banka)</t>
  </si>
  <si>
    <t>SİGORTA PAZARLAMASI  ( Banka)</t>
  </si>
  <si>
    <t>NAKLİYAT SİGORTALARI 2.öğr.dahil ( Banka)</t>
  </si>
  <si>
    <t>HAYAT SİGORTALARI ( Banka)</t>
  </si>
  <si>
    <t>KAZA VE SORUMLULUK SİGORTALARI ( Banka)</t>
  </si>
  <si>
    <t>Genel İşletme ( PAZR )</t>
  </si>
  <si>
    <t>Atatürk İlkeleri ve İnkilap Tarihi I ( yabn öğr.dahil)</t>
  </si>
  <si>
    <t>Türk Dili I  ( yabn öğr.dahil )( PAZR )</t>
  </si>
  <si>
    <t>İletişim  ( PAZR )</t>
  </si>
  <si>
    <t>Ekonomi  ( PAZR )</t>
  </si>
  <si>
    <t>Çevre Koruma   ( PAZR ) temel ilk yardım muad.</t>
  </si>
  <si>
    <t>Temel İlk Yardım   ( PAZR )  Ç.koruma muadi.</t>
  </si>
  <si>
    <t>Yabancı Dil I  ( PAZR )</t>
  </si>
  <si>
    <t>Pazarlama İlkeleri   ( PAZR )</t>
  </si>
  <si>
    <t>Matematik  ( PAZR ) 1.SINIF</t>
  </si>
  <si>
    <t>PAZARLAMA ARAŞTIRMASI  ( PAZR )</t>
  </si>
  <si>
    <t>GİRİŞİMCİLİK ( PAZR )</t>
  </si>
  <si>
    <t>MÜŞTERİ İLİŞKİLERİ YÖNETİMİ  ( PAZR )</t>
  </si>
  <si>
    <t>YAPI MALZEM BİLGİSAYAR UYGULI I ( PAZR )</t>
  </si>
  <si>
    <t>YAPI MALZELEMELERİ PAZARLAMASI ( PAZR )</t>
  </si>
  <si>
    <t>SİGORTA PAZARLAMASI ( PAZR )</t>
  </si>
  <si>
    <t>SATIŞ SAHA PLANLAMASI  ( PAZR )</t>
  </si>
  <si>
    <t>BİLGİSAYARDA OFİS PROGRAMLARI ( PAZR )</t>
  </si>
  <si>
    <t>MESLEKİ YABANCI DİL ( PAZR )</t>
  </si>
  <si>
    <t>SATIŞ GÜCÜ EĞİTİMİ  ( PAZR )</t>
  </si>
  <si>
    <t>TÜKETİCİ DAVRANIŞLARI  ( PAZR )</t>
  </si>
  <si>
    <t>Atatürk İnkılap Tarihi I  yab.öğr dahil  ( DIŞ )</t>
  </si>
  <si>
    <t>Türk Dili I   ( yabn öğr.dahil)  ( DIŞ )</t>
  </si>
  <si>
    <t>Yabancı Dil I   ( DIŞ )</t>
  </si>
  <si>
    <t>Mikro Ekonomi  ( DIŞ )</t>
  </si>
  <si>
    <t>Temel Hukuk   ( DIŞ )</t>
  </si>
  <si>
    <t>Genel Muhasebe ( ikinci öğr.dahil)  ( DIŞ )</t>
  </si>
  <si>
    <t>İşletme ( İkinci öğr.dahil)  ( DIŞ )</t>
  </si>
  <si>
    <t>Bilgi ve İletişim Teknolojisi*  ( DIŞ )</t>
  </si>
  <si>
    <t xml:space="preserve">Bilgisayarda Sunum Teknikleri*  ( DIŞ ) 1.SINIF </t>
  </si>
  <si>
    <t>Mesleki Yabancı Dil ( 2.öğr.dahil)  ( DIŞ )</t>
  </si>
  <si>
    <t>Uluslararası Pazarlama 2.öğr.dahil   ( DIŞ )</t>
  </si>
  <si>
    <t>Uluslararası İktisat I  ( 2.öğr.dahil) ( DIŞ )</t>
  </si>
  <si>
    <t>Araştırma Yöntem ve Teknikleri 2.öğrdah ( DIŞ )</t>
  </si>
  <si>
    <t>Lojistik ( 2.öğr.dahil)   ( DIŞ )</t>
  </si>
  <si>
    <t>Dış Ticaret İşlemleri II ( 2.öğr.dah)  ( DIŞ )</t>
  </si>
  <si>
    <t>İş ve Sosyal Güvenlik Hukuku   ( DIŞ )</t>
  </si>
  <si>
    <t>İletişim  ( DIŞ )</t>
  </si>
  <si>
    <t>Ticaret Hukuku ( 2.öğr.dahl)  ( DIŞ )</t>
  </si>
  <si>
    <t>Elektronik Ticaret    ( DIŞ )</t>
  </si>
  <si>
    <t>Temel İlk Yardım  ( DIŞ )</t>
  </si>
  <si>
    <t>Çevre Koruma  ( DIŞ ) 2.SINIF</t>
  </si>
  <si>
    <t>Atatürk İlkeleri ve İnkılap Tarihi I  ( MUH)</t>
  </si>
  <si>
    <t>Türk Dili I / yabn öğr.dahl) ( MUH)</t>
  </si>
  <si>
    <t>Yabancı Dil I ( MUH)</t>
  </si>
  <si>
    <t xml:space="preserve"> Genel Muhasebe I/2.öğrdah ( MUH) Tuğçe Kocamış</t>
  </si>
  <si>
    <t>Mikro Ekonomi /2.öğr.dhl (( MUH) Selma Öner</t>
  </si>
  <si>
    <t>Temel Hukuk ( MUH)</t>
  </si>
  <si>
    <t>Ticari Matematik /2.öğ.dah ( MUH)</t>
  </si>
  <si>
    <t>Ofis Programları I A  ( MUH) Minire Kırbaşlı</t>
  </si>
  <si>
    <t>Ofis Programları I B  ( MUH) Ali  Kuzu</t>
  </si>
  <si>
    <t>İletişim  ( MUH)</t>
  </si>
  <si>
    <t>Davranış Bilimleri*   ( MUH)</t>
  </si>
  <si>
    <t>Meslek Etiği  ( MUH)</t>
  </si>
  <si>
    <t xml:space="preserve">İşletme Finansmanı* ( MUH) 1 SINIF </t>
  </si>
  <si>
    <t>Şirketler Muhasebesi   ( MUH)</t>
  </si>
  <si>
    <t>Maliyet Muhasebesi /2.ÖĞR DAH ( MUH)</t>
  </si>
  <si>
    <t>Vergi Hukuku  ( MUH)</t>
  </si>
  <si>
    <t>Paket Programlar I A ( muhasebe ) Ethem Kahveci</t>
  </si>
  <si>
    <t>Paket Programlar I B ( muhasebe ) Emine Ertürk</t>
  </si>
  <si>
    <t xml:space="preserve">Bilgi iletişim Teknolojileri/2.öğr.dah Hatice Özkurt </t>
  </si>
  <si>
    <t>İş ve Sosyal Güvenlik Hukuku  ( MUH)</t>
  </si>
  <si>
    <t>Dış Ticaret İşlemleri Muhasebesi  ( MUH)</t>
  </si>
  <si>
    <t>Araştırma Yöntem ve Teknikleri/2.öğr.dh( MUH)</t>
  </si>
  <si>
    <t>İnsan Kaynakları Yönetimi*  ( MUH)</t>
  </si>
  <si>
    <t>Kamu Maliyesi /2.öğr.dahl ( MUH)</t>
  </si>
  <si>
    <t>Finansal Yönetim ( MUH)</t>
  </si>
  <si>
    <t>Genel Turizm    ( Turizm)</t>
  </si>
  <si>
    <t>Kat Hizmetleri   ( Turizm)</t>
  </si>
  <si>
    <t>Önbüro Hizmetleri   ( Turizm)</t>
  </si>
  <si>
    <t>Yiyecek İçecek Servisi    ( Turizm)</t>
  </si>
  <si>
    <t>Atatürk İlkİnkılap Tarihi I  / yab öğr.dahl ( Turizm)</t>
  </si>
  <si>
    <t>Türk Dili I / yabn öğr.dahl)</t>
  </si>
  <si>
    <t>Yabancı Dil I    ( Turizm)</t>
  </si>
  <si>
    <t>Çevre Koruma      ( Turizm) tevfik</t>
  </si>
  <si>
    <t>Genel Alan Kontrolü   ( Turizm) tevfik</t>
  </si>
  <si>
    <t>Önbüroda Oda İşlemleri    ( Turizm) tevfik</t>
  </si>
  <si>
    <t>Konuk Giriş-Çıkış İşlemleri    ( Turizm) tevfik 1.SINIF</t>
  </si>
  <si>
    <t>Mesleki Yabancı Dil-I    ( Turizm)-2.SINIF</t>
  </si>
  <si>
    <t>Menü Planlama    ( Turizm)</t>
  </si>
  <si>
    <t>Turizm Mevzuatı  ( Turizm)</t>
  </si>
  <si>
    <t>Tur Operatörlüğü ve Seyahat Acentacılığı   ( Turizm)</t>
  </si>
  <si>
    <t>Ziyafet Servisi Yönetimi   ( Turizm)</t>
  </si>
  <si>
    <t>Araştırma Yöntem ve Teknikleri   ( Turizm)</t>
  </si>
  <si>
    <t>İşletme Yönetimi I    ( Turizm)</t>
  </si>
  <si>
    <t xml:space="preserve">Bilgi ve İletişim Teknolojisi    ( Turizm) tolga </t>
  </si>
  <si>
    <t>Önbüroda Vardiya İşlemleri    ( Turizm) tevfik</t>
  </si>
  <si>
    <t>Önbüroda Raporlama İşlemleri   ( Turizm) tevfik</t>
  </si>
  <si>
    <t>TURİZM İŞLETMELERİNDE MALİYET ANALİZLERİ tevfik</t>
  </si>
  <si>
    <t>School</t>
  </si>
  <si>
    <t>EMLAK1</t>
  </si>
  <si>
    <t>EMLAK2</t>
  </si>
  <si>
    <t>ISLETME1</t>
  </si>
  <si>
    <t>ISLETME2</t>
  </si>
  <si>
    <t>BANKA1</t>
  </si>
  <si>
    <t>BANKA2</t>
  </si>
  <si>
    <t>PAZARLAMA1</t>
  </si>
  <si>
    <t>PAZARLAMA2</t>
  </si>
  <si>
    <t>DISTICARET1</t>
  </si>
  <si>
    <t>DISTICARET2</t>
  </si>
  <si>
    <t>MUHASEBE1</t>
  </si>
  <si>
    <t>MUHASEBE2</t>
  </si>
  <si>
    <t>TURIZM1</t>
  </si>
  <si>
    <t>TURIZM2</t>
  </si>
  <si>
    <t>Ortak Dersler</t>
  </si>
  <si>
    <t>Zaman</t>
  </si>
  <si>
    <t>Ders</t>
  </si>
  <si>
    <t>a</t>
  </si>
  <si>
    <t>b</t>
  </si>
  <si>
    <t>c</t>
  </si>
  <si>
    <t>d</t>
  </si>
  <si>
    <t>e</t>
  </si>
  <si>
    <t>f</t>
  </si>
  <si>
    <t>Hard or
soft</t>
  </si>
  <si>
    <t>Ders 1</t>
  </si>
  <si>
    <t>Ders 2</t>
  </si>
  <si>
    <t>Maliyeti</t>
  </si>
  <si>
    <t>Dış Ticarette Standardizasyon ( 2.öğr.dah ( DIŞ )</t>
  </si>
  <si>
    <t>No</t>
  </si>
  <si>
    <t>Emre aksu</t>
  </si>
  <si>
    <t>Melike Torun</t>
  </si>
  <si>
    <t>Zehra Binnur Avunduk</t>
  </si>
  <si>
    <t>Hatice Öztürk</t>
  </si>
  <si>
    <t>Zaid Alrawadien</t>
  </si>
  <si>
    <t>Aynur Önür</t>
  </si>
  <si>
    <t>Tolga akagün</t>
  </si>
  <si>
    <t>Tevfik İzgi</t>
  </si>
  <si>
    <t>Nilay Baş</t>
  </si>
  <si>
    <t>Seyit Ali Eren</t>
  </si>
  <si>
    <t>Serap Özdemir Güzel</t>
  </si>
  <si>
    <t>Muhammet Kekeç</t>
  </si>
  <si>
    <t>Fettah Turan</t>
  </si>
  <si>
    <t>Mustafa Gürkan Güler</t>
  </si>
  <si>
    <t>Güner Çöl</t>
  </si>
  <si>
    <t>Ali Kuzu</t>
  </si>
  <si>
    <t>Mehmet hakan Sağlam</t>
  </si>
  <si>
    <t>Nuran Çakır yıldız</t>
  </si>
  <si>
    <t>Özge İzdeş Terkoğlu</t>
  </si>
  <si>
    <t>Büşra Ergin</t>
  </si>
  <si>
    <t>Serdar Kuzu</t>
  </si>
  <si>
    <t>Selma Öner</t>
  </si>
  <si>
    <t>Cansu Şarkaya İçellioğlu</t>
  </si>
  <si>
    <t>Ömine Kırbaşlı</t>
  </si>
  <si>
    <t>Tuğçe Uzun Kocamış</t>
  </si>
  <si>
    <t>Sezgi Gedik</t>
  </si>
  <si>
    <t>Erkan Arslan</t>
  </si>
  <si>
    <t>Days</t>
  </si>
  <si>
    <t>TimeIntervals</t>
  </si>
  <si>
    <t>Total Assignment</t>
  </si>
  <si>
    <t>Seniority</t>
  </si>
  <si>
    <t>Name</t>
  </si>
  <si>
    <t>Time Information</t>
  </si>
  <si>
    <t>Class Informatıon</t>
  </si>
  <si>
    <t>A102</t>
  </si>
  <si>
    <t>A103</t>
  </si>
  <si>
    <t>A104</t>
  </si>
  <si>
    <t>A105</t>
  </si>
  <si>
    <t>A106</t>
  </si>
  <si>
    <t>A107</t>
  </si>
  <si>
    <t>Asis\Day</t>
  </si>
  <si>
    <t>Undesired Days</t>
  </si>
  <si>
    <t>Desired Days</t>
  </si>
  <si>
    <t>Course Information</t>
  </si>
  <si>
    <t>Course Name</t>
  </si>
  <si>
    <t>Capacity</t>
  </si>
  <si>
    <t>CourseHour</t>
  </si>
  <si>
    <t>66Dan büyük mü küçük</t>
  </si>
  <si>
    <t>BİL- LAB1</t>
  </si>
  <si>
    <t>BİL-LAB2</t>
  </si>
  <si>
    <t>BİL-LAB3</t>
  </si>
  <si>
    <t>BİL- LAB4</t>
  </si>
  <si>
    <t>total</t>
  </si>
  <si>
    <t>difference</t>
  </si>
  <si>
    <t>Instructor-Course Match</t>
  </si>
  <si>
    <t>i</t>
  </si>
  <si>
    <t>j</t>
  </si>
  <si>
    <t>t</t>
  </si>
  <si>
    <t>Exam Output</t>
  </si>
  <si>
    <t>course_code</t>
  </si>
  <si>
    <t>course_name</t>
  </si>
  <si>
    <t>course_capacity</t>
  </si>
  <si>
    <t>sixty_more</t>
  </si>
  <si>
    <t>education_type</t>
  </si>
  <si>
    <t>slot_number</t>
  </si>
  <si>
    <t>lab_or_not</t>
  </si>
  <si>
    <t>double_classroom</t>
  </si>
  <si>
    <t>department</t>
  </si>
  <si>
    <t>seniority</t>
  </si>
  <si>
    <t>desired_day</t>
  </si>
  <si>
    <t>desired_slot</t>
  </si>
  <si>
    <t>assistant_code</t>
  </si>
  <si>
    <t>assistant_name</t>
  </si>
  <si>
    <t>total_assignment</t>
  </si>
  <si>
    <t>undesired_days</t>
  </si>
  <si>
    <t>undesired_slots</t>
  </si>
  <si>
    <t>1,2,3</t>
  </si>
  <si>
    <t>2,3,5</t>
  </si>
  <si>
    <t>classroom_code</t>
  </si>
  <si>
    <t>classroom_name</t>
  </si>
  <si>
    <t>classroom_capacity</t>
  </si>
  <si>
    <t>course1_code</t>
  </si>
  <si>
    <t>course2_code</t>
  </si>
  <si>
    <t>cost</t>
  </si>
  <si>
    <t>hard_or_soft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</si>
</sst>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i/>
      <sz val="11"/>
      <color theme="1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sz val="9"/>
      <name val="Times New Roman"/>
      <family val="1"/>
      <charset val="162"/>
    </font>
    <font>
      <sz val="10"/>
      <name val="Arial"/>
      <family val="2"/>
      <charset val="162"/>
    </font>
    <font>
      <sz val="11"/>
      <color theme="1"/>
      <name val="Calibri"/>
      <family val="2"/>
      <scheme val="minor"/>
    </font>
    <font>
      <sz val="11"/>
      <name val="Calibri"/>
      <family val="2"/>
      <charset val="162"/>
      <scheme val="minor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  <font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1"/>
      <color theme="1"/>
      <name val="Arial"/>
      <family val="2"/>
      <charset val="162"/>
    </font>
    <font>
      <sz val="11"/>
      <name val="Arial"/>
      <family val="2"/>
      <charset val="162"/>
    </font>
    <font>
      <sz val="10"/>
      <color theme="1"/>
      <name val="Times New Roman"/>
      <family val="1"/>
      <charset val="162"/>
    </font>
    <font>
      <sz val="10"/>
      <color theme="1"/>
      <name val="Times New Roman"/>
      <family val="1"/>
    </font>
    <font>
      <sz val="11"/>
      <color rgb="FFFF0000"/>
      <name val="Times New Roman"/>
      <family val="1"/>
      <charset val="162"/>
    </font>
    <font>
      <sz val="12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u/>
      <sz val="14.3"/>
      <color theme="10"/>
      <name val="Calibri"/>
      <family val="2"/>
      <charset val="162"/>
    </font>
    <font>
      <sz val="11"/>
      <color indexed="81"/>
      <name val="Tahoma"/>
      <family val="2"/>
      <charset val="162"/>
    </font>
    <font>
      <b/>
      <sz val="11"/>
      <color indexed="81"/>
      <name val="Tahoma"/>
      <family val="2"/>
      <charset val="162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theme="4" tint="0.79998168889431442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theme="4" tint="0.79998168889431442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2"/>
      </left>
      <right style="thin">
        <color indexed="62"/>
      </right>
      <top style="thin">
        <color theme="4" tint="0.39997558519241921"/>
      </top>
      <bottom style="thin">
        <color indexed="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2"/>
      </left>
      <right style="thin">
        <color indexed="62"/>
      </right>
      <top/>
      <bottom style="thin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75">
    <xf numFmtId="0" fontId="0" fillId="0" borderId="0" xfId="0"/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0" xfId="0" applyFont="1" applyAlignment="1">
      <alignment horizontal="center" vertical="center"/>
    </xf>
    <xf numFmtId="0" fontId="0" fillId="0" borderId="1" xfId="0" applyBorder="1"/>
    <xf numFmtId="0" fontId="2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2" fillId="4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1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2" fillId="5" borderId="9" xfId="0" applyFont="1" applyFill="1" applyBorder="1" applyAlignment="1">
      <alignment horizontal="left" vertical="center" wrapText="1"/>
    </xf>
    <xf numFmtId="0" fontId="0" fillId="6" borderId="1" xfId="0" applyFont="1" applyFill="1" applyBorder="1" applyAlignment="1">
      <alignment horizontal="center"/>
    </xf>
    <xf numFmtId="0" fontId="12" fillId="6" borderId="9" xfId="0" applyFont="1" applyFill="1" applyBorder="1" applyAlignment="1">
      <alignment horizontal="left" vertical="center" wrapText="1"/>
    </xf>
    <xf numFmtId="0" fontId="12" fillId="5" borderId="10" xfId="0" applyFont="1" applyFill="1" applyBorder="1" applyAlignment="1">
      <alignment horizontal="left" vertical="center" wrapText="1"/>
    </xf>
    <xf numFmtId="0" fontId="0" fillId="6" borderId="6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left" vertical="center" wrapText="1"/>
    </xf>
    <xf numFmtId="0" fontId="7" fillId="7" borderId="11" xfId="0" applyFont="1" applyFill="1" applyBorder="1"/>
    <xf numFmtId="0" fontId="7" fillId="8" borderId="1" xfId="0" applyFont="1" applyFill="1" applyBorder="1" applyAlignment="1">
      <alignment horizontal="center"/>
    </xf>
    <xf numFmtId="0" fontId="7" fillId="9" borderId="11" xfId="0" applyFont="1" applyFill="1" applyBorder="1"/>
    <xf numFmtId="0" fontId="14" fillId="10" borderId="1" xfId="1" applyFont="1" applyFill="1" applyBorder="1" applyAlignment="1">
      <alignment horizontal="left" vertical="center" wrapText="1"/>
    </xf>
    <xf numFmtId="0" fontId="10" fillId="11" borderId="1" xfId="0" applyFont="1" applyFill="1" applyBorder="1" applyAlignment="1">
      <alignment horizontal="center"/>
    </xf>
    <xf numFmtId="0" fontId="15" fillId="10" borderId="1" xfId="0" applyFont="1" applyFill="1" applyBorder="1" applyAlignment="1">
      <alignment horizontal="left" vertical="center"/>
    </xf>
    <xf numFmtId="0" fontId="0" fillId="11" borderId="1" xfId="0" applyFont="1" applyFill="1" applyBorder="1" applyAlignment="1">
      <alignment horizontal="center"/>
    </xf>
    <xf numFmtId="0" fontId="16" fillId="12" borderId="11" xfId="0" applyFont="1" applyFill="1" applyBorder="1"/>
    <xf numFmtId="0" fontId="11" fillId="13" borderId="1" xfId="0" applyFont="1" applyFill="1" applyBorder="1" applyAlignment="1">
      <alignment horizontal="center"/>
    </xf>
    <xf numFmtId="0" fontId="16" fillId="13" borderId="11" xfId="0" applyFont="1" applyFill="1" applyBorder="1"/>
    <xf numFmtId="0" fontId="0" fillId="14" borderId="11" xfId="0" applyFont="1" applyFill="1" applyBorder="1"/>
    <xf numFmtId="0" fontId="0" fillId="15" borderId="11" xfId="0" applyFont="1" applyFill="1" applyBorder="1"/>
    <xf numFmtId="0" fontId="0" fillId="15" borderId="11" xfId="0" applyFont="1" applyFill="1" applyBorder="1" applyAlignment="1">
      <alignment wrapText="1"/>
    </xf>
    <xf numFmtId="0" fontId="17" fillId="16" borderId="12" xfId="0" applyFont="1" applyFill="1" applyBorder="1" applyAlignment="1">
      <alignment horizontal="left"/>
    </xf>
    <xf numFmtId="0" fontId="7" fillId="16" borderId="1" xfId="0" applyFont="1" applyFill="1" applyBorder="1" applyAlignment="1">
      <alignment horizontal="center"/>
    </xf>
    <xf numFmtId="0" fontId="17" fillId="16" borderId="13" xfId="0" applyFont="1" applyFill="1" applyBorder="1" applyAlignment="1">
      <alignment horizontal="left" vertical="center"/>
    </xf>
    <xf numFmtId="0" fontId="17" fillId="16" borderId="13" xfId="0" applyFont="1" applyFill="1" applyBorder="1" applyAlignment="1">
      <alignment horizontal="left"/>
    </xf>
    <xf numFmtId="0" fontId="17" fillId="16" borderId="13" xfId="0" applyFont="1" applyFill="1" applyBorder="1" applyAlignment="1"/>
    <xf numFmtId="0" fontId="17" fillId="16" borderId="14" xfId="0" applyFont="1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17" fillId="16" borderId="15" xfId="0" applyFont="1" applyFill="1" applyBorder="1" applyAlignment="1"/>
    <xf numFmtId="0" fontId="17" fillId="16" borderId="14" xfId="0" applyFont="1" applyFill="1" applyBorder="1" applyAlignment="1"/>
    <xf numFmtId="0" fontId="17" fillId="16" borderId="1" xfId="0" applyFont="1" applyFill="1" applyBorder="1" applyAlignment="1">
      <alignment horizontal="left"/>
    </xf>
    <xf numFmtId="0" fontId="17" fillId="16" borderId="1" xfId="0" applyFont="1" applyFill="1" applyBorder="1" applyAlignment="1"/>
    <xf numFmtId="0" fontId="5" fillId="12" borderId="1" xfId="0" applyFont="1" applyFill="1" applyBorder="1" applyAlignment="1">
      <alignment horizontal="left" vertical="center" wrapText="1"/>
    </xf>
    <xf numFmtId="0" fontId="7" fillId="13" borderId="1" xfId="0" applyFont="1" applyFill="1" applyBorder="1" applyAlignment="1">
      <alignment horizontal="center"/>
    </xf>
    <xf numFmtId="0" fontId="5" fillId="13" borderId="1" xfId="0" applyFont="1" applyFill="1" applyBorder="1" applyAlignment="1">
      <alignment horizontal="left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0" fillId="13" borderId="1" xfId="0" applyFill="1" applyBorder="1" applyAlignment="1">
      <alignment horizontal="center"/>
    </xf>
    <xf numFmtId="0" fontId="18" fillId="13" borderId="1" xfId="0" applyFont="1" applyFill="1" applyBorder="1" applyAlignment="1">
      <alignment horizontal="left" vertical="center" wrapText="1"/>
    </xf>
    <xf numFmtId="0" fontId="18" fillId="12" borderId="16" xfId="0" applyFont="1" applyFill="1" applyBorder="1" applyAlignment="1">
      <alignment horizontal="left" vertical="center" wrapText="1"/>
    </xf>
    <xf numFmtId="0" fontId="18" fillId="13" borderId="1" xfId="3" applyFont="1" applyFill="1" applyBorder="1" applyAlignment="1" applyProtection="1">
      <alignment horizontal="left" vertical="center" wrapText="1"/>
    </xf>
    <xf numFmtId="0" fontId="18" fillId="12" borderId="1" xfId="0" applyFont="1" applyFill="1" applyBorder="1" applyAlignment="1">
      <alignment horizontal="left" vertical="center"/>
    </xf>
    <xf numFmtId="0" fontId="18" fillId="13" borderId="16" xfId="0" applyFont="1" applyFill="1" applyBorder="1" applyAlignment="1">
      <alignment horizontal="left" vertical="center"/>
    </xf>
    <xf numFmtId="0" fontId="18" fillId="13" borderId="1" xfId="0" applyFont="1" applyFill="1" applyBorder="1" applyAlignment="1">
      <alignment horizontal="left" vertical="center"/>
    </xf>
    <xf numFmtId="0" fontId="18" fillId="13" borderId="16" xfId="0" applyFont="1" applyFill="1" applyBorder="1" applyAlignment="1">
      <alignment horizontal="left" vertical="center" wrapText="1"/>
    </xf>
    <xf numFmtId="0" fontId="3" fillId="17" borderId="1" xfId="0" applyFont="1" applyFill="1" applyBorder="1" applyAlignment="1">
      <alignment horizontal="center"/>
    </xf>
    <xf numFmtId="0" fontId="0" fillId="17" borderId="1" xfId="0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1" xfId="0" applyFill="1" applyBorder="1" applyAlignment="1">
      <alignment horizontal="center"/>
    </xf>
    <xf numFmtId="0" fontId="2" fillId="17" borderId="0" xfId="0" applyFont="1" applyFill="1" applyAlignment="1">
      <alignment horizontal="center" vertical="center"/>
    </xf>
    <xf numFmtId="0" fontId="0" fillId="17" borderId="0" xfId="0" applyFill="1"/>
    <xf numFmtId="0" fontId="0" fillId="17" borderId="2" xfId="0" applyFill="1" applyBorder="1" applyAlignment="1">
      <alignment horizontal="center"/>
    </xf>
    <xf numFmtId="0" fontId="0" fillId="17" borderId="1" xfId="0" applyFill="1" applyBorder="1"/>
    <xf numFmtId="0" fontId="1" fillId="2" borderId="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center"/>
    </xf>
    <xf numFmtId="0" fontId="2" fillId="4" borderId="6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right"/>
    </xf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2" fillId="5" borderId="19" xfId="0" applyFont="1" applyFill="1" applyBorder="1" applyAlignment="1">
      <alignment horizontal="left" vertical="center" wrapText="1"/>
    </xf>
    <xf numFmtId="0" fontId="0" fillId="6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2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3" xfId="0" applyBorder="1"/>
    <xf numFmtId="0" fontId="1" fillId="0" borderId="27" xfId="0" applyFont="1" applyBorder="1"/>
    <xf numFmtId="0" fontId="1" fillId="0" borderId="28" xfId="0" applyFont="1" applyBorder="1"/>
    <xf numFmtId="0" fontId="1" fillId="0" borderId="29" xfId="0" applyFont="1" applyBorder="1"/>
    <xf numFmtId="0" fontId="1" fillId="0" borderId="30" xfId="0" applyFont="1" applyBorder="1"/>
    <xf numFmtId="0" fontId="1" fillId="0" borderId="26" xfId="0" applyFont="1" applyBorder="1"/>
    <xf numFmtId="0" fontId="1" fillId="0" borderId="31" xfId="0" applyFont="1" applyBorder="1"/>
    <xf numFmtId="0" fontId="1" fillId="0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6" borderId="6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 wrapText="1"/>
    </xf>
    <xf numFmtId="0" fontId="12" fillId="6" borderId="9" xfId="0" applyFont="1" applyFill="1" applyBorder="1" applyAlignment="1">
      <alignment horizontal="center" vertical="center" wrapText="1"/>
    </xf>
    <xf numFmtId="0" fontId="12" fillId="5" borderId="10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7" fillId="9" borderId="11" xfId="0" applyFont="1" applyFill="1" applyBorder="1" applyAlignment="1">
      <alignment horizontal="center" vertical="center"/>
    </xf>
    <xf numFmtId="0" fontId="14" fillId="10" borderId="1" xfId="1" applyFont="1" applyFill="1" applyBorder="1" applyAlignment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6" fillId="12" borderId="11" xfId="0" applyFont="1" applyFill="1" applyBorder="1" applyAlignment="1">
      <alignment horizontal="center" vertical="center"/>
    </xf>
    <xf numFmtId="0" fontId="16" fillId="13" borderId="11" xfId="0" applyFont="1" applyFill="1" applyBorder="1" applyAlignment="1">
      <alignment horizontal="center" vertical="center"/>
    </xf>
    <xf numFmtId="0" fontId="0" fillId="14" borderId="11" xfId="0" applyFont="1" applyFill="1" applyBorder="1" applyAlignment="1">
      <alignment horizontal="center" vertical="center"/>
    </xf>
    <xf numFmtId="0" fontId="0" fillId="15" borderId="11" xfId="0" applyFont="1" applyFill="1" applyBorder="1" applyAlignment="1">
      <alignment horizontal="center" vertical="center"/>
    </xf>
    <xf numFmtId="0" fontId="0" fillId="15" borderId="11" xfId="0" applyFont="1" applyFill="1" applyBorder="1" applyAlignment="1">
      <alignment horizontal="center" vertical="center" wrapText="1"/>
    </xf>
    <xf numFmtId="0" fontId="17" fillId="16" borderId="12" xfId="0" applyFont="1" applyFill="1" applyBorder="1" applyAlignment="1">
      <alignment horizontal="center" vertical="center"/>
    </xf>
    <xf numFmtId="0" fontId="17" fillId="16" borderId="13" xfId="0" applyFont="1" applyFill="1" applyBorder="1" applyAlignment="1">
      <alignment horizontal="center" vertical="center"/>
    </xf>
    <xf numFmtId="0" fontId="17" fillId="16" borderId="14" xfId="0" applyFont="1" applyFill="1" applyBorder="1" applyAlignment="1">
      <alignment horizontal="center" vertical="center"/>
    </xf>
    <xf numFmtId="0" fontId="17" fillId="16" borderId="15" xfId="0" applyFont="1" applyFill="1" applyBorder="1" applyAlignment="1">
      <alignment horizontal="center" vertical="center"/>
    </xf>
    <xf numFmtId="0" fontId="17" fillId="16" borderId="1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 wrapText="1"/>
    </xf>
    <xf numFmtId="0" fontId="5" fillId="13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center" vertical="center" wrapText="1"/>
    </xf>
    <xf numFmtId="0" fontId="18" fillId="12" borderId="16" xfId="0" applyFont="1" applyFill="1" applyBorder="1" applyAlignment="1">
      <alignment horizontal="center" vertical="center" wrapText="1"/>
    </xf>
    <xf numFmtId="0" fontId="18" fillId="13" borderId="1" xfId="3" applyFont="1" applyFill="1" applyBorder="1" applyAlignment="1" applyProtection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3" borderId="16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center"/>
    </xf>
    <xf numFmtId="0" fontId="18" fillId="13" borderId="16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quotePrefix="1" applyBorder="1"/>
    <xf numFmtId="0" fontId="1" fillId="2" borderId="17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textRotation="90" wrapText="1"/>
    </xf>
    <xf numFmtId="0" fontId="1" fillId="2" borderId="6" xfId="0" applyFont="1" applyFill="1" applyBorder="1" applyAlignment="1">
      <alignment horizontal="center" vertical="center" textRotation="90" wrapText="1"/>
    </xf>
    <xf numFmtId="0" fontId="1" fillId="2" borderId="4" xfId="0" applyFont="1" applyFill="1" applyBorder="1" applyAlignment="1">
      <alignment horizontal="center" vertical="center" textRotation="90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</cellXfs>
  <cellStyles count="4">
    <cellStyle name="Hyperlink" xfId="3" builtinId="8"/>
    <cellStyle name="Normal" xfId="0" builtinId="0"/>
    <cellStyle name="Normal 4" xfId="1"/>
    <cellStyle name="Normal 6" xfId="2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egitimdeyapilanma.istanbul.edu.tr/izlence.php?id=26533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egitimdeyapilanma.istanbul.edu.tr/izlence.php?id=26533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://egitimdeyapilanma.istanbul.edu.tr/izlence.php?id=26533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AZ288"/>
  <sheetViews>
    <sheetView topLeftCell="I1" zoomScale="85" zoomScaleNormal="85" zoomScaleSheetLayoutView="55" workbookViewId="0">
      <pane ySplit="3" topLeftCell="A4" activePane="bottomLeft" state="frozen"/>
      <selection pane="bottomLeft" activeCell="V4" sqref="V4:Y16"/>
    </sheetView>
  </sheetViews>
  <sheetFormatPr defaultRowHeight="14.5" x14ac:dyDescent="0.35"/>
  <cols>
    <col min="1" max="1" width="8.54296875" style="8" bestFit="1" customWidth="1"/>
    <col min="2" max="2" width="54" style="13" bestFit="1" customWidth="1"/>
    <col min="3" max="3" width="13.453125" customWidth="1"/>
    <col min="4" max="4" width="7.453125" customWidth="1"/>
    <col min="5" max="5" width="9" customWidth="1"/>
    <col min="6" max="6" width="8.54296875" customWidth="1"/>
    <col min="7" max="7" width="10.81640625" customWidth="1"/>
    <col min="8" max="9" width="11.453125" customWidth="1"/>
    <col min="10" max="10" width="7.1796875" style="21" customWidth="1"/>
    <col min="11" max="11" width="8.26953125" customWidth="1"/>
    <col min="12" max="12" width="14.54296875" customWidth="1"/>
    <col min="13" max="13" width="9.54296875" bestFit="1" customWidth="1"/>
    <col min="14" max="14" width="8.81640625" customWidth="1"/>
    <col min="15" max="16" width="3.54296875" customWidth="1"/>
    <col min="17" max="17" width="5.1796875" customWidth="1"/>
    <col min="18" max="18" width="6.7265625" bestFit="1" customWidth="1"/>
    <col min="19" max="19" width="6.7265625" customWidth="1"/>
    <col min="20" max="20" width="2.54296875" customWidth="1"/>
    <col min="21" max="21" width="4.26953125" customWidth="1"/>
    <col min="22" max="23" width="8.81640625" customWidth="1"/>
    <col min="24" max="25" width="9.7265625" customWidth="1"/>
    <col min="26" max="26" width="4.7265625" customWidth="1"/>
    <col min="27" max="27" width="4.26953125" customWidth="1"/>
    <col min="28" max="29" width="7.54296875" customWidth="1"/>
    <col min="30" max="30" width="3.26953125" customWidth="1"/>
    <col min="31" max="32" width="7.453125" customWidth="1"/>
    <col min="33" max="33" width="1.54296875" customWidth="1"/>
    <col min="34" max="35" width="7.453125" customWidth="1"/>
    <col min="36" max="36" width="2" customWidth="1"/>
    <col min="37" max="38" width="7.453125" customWidth="1"/>
    <col min="39" max="39" width="2.1796875" customWidth="1"/>
    <col min="40" max="41" width="7.453125" customWidth="1"/>
    <col min="42" max="42" width="3.1796875" customWidth="1"/>
    <col min="43" max="44" width="7.453125" customWidth="1"/>
    <col min="45" max="45" width="2.453125" customWidth="1"/>
    <col min="46" max="47" width="7.453125" customWidth="1"/>
    <col min="48" max="48" width="4.1796875" customWidth="1"/>
    <col min="49" max="50" width="7.453125" customWidth="1"/>
    <col min="51" max="51" width="13.1796875" bestFit="1" customWidth="1"/>
    <col min="52" max="52" width="14.54296875" bestFit="1" customWidth="1"/>
  </cols>
  <sheetData>
    <row r="1" spans="1:52" ht="14.5" customHeight="1" x14ac:dyDescent="0.35">
      <c r="Q1" s="160" t="s">
        <v>234</v>
      </c>
      <c r="R1" s="160"/>
      <c r="S1" s="83"/>
      <c r="V1" s="158" t="s">
        <v>40</v>
      </c>
      <c r="W1" s="159"/>
      <c r="X1" s="159"/>
      <c r="Y1" s="159"/>
      <c r="AE1" s="161" t="s">
        <v>2</v>
      </c>
      <c r="AF1" s="161"/>
      <c r="AH1" s="161" t="s">
        <v>1</v>
      </c>
      <c r="AI1" s="161"/>
      <c r="AK1" s="161" t="s">
        <v>5</v>
      </c>
      <c r="AL1" s="161"/>
      <c r="AN1" s="161" t="s">
        <v>7</v>
      </c>
      <c r="AO1" s="161"/>
      <c r="AQ1" s="161" t="s">
        <v>9</v>
      </c>
      <c r="AR1" s="161"/>
      <c r="AT1" s="161" t="s">
        <v>11</v>
      </c>
      <c r="AU1" s="161"/>
      <c r="AW1" s="161" t="s">
        <v>13</v>
      </c>
      <c r="AX1" s="161"/>
    </row>
    <row r="2" spans="1:52" ht="58" x14ac:dyDescent="0.35">
      <c r="A2" s="162" t="s">
        <v>37</v>
      </c>
      <c r="B2" s="12" t="s">
        <v>36</v>
      </c>
      <c r="C2" s="20" t="s">
        <v>38</v>
      </c>
      <c r="D2" s="100" t="s">
        <v>296</v>
      </c>
      <c r="E2" s="25" t="s">
        <v>35</v>
      </c>
      <c r="F2" s="25" t="s">
        <v>34</v>
      </c>
      <c r="G2" s="25" t="s">
        <v>32</v>
      </c>
      <c r="H2" s="25" t="s">
        <v>33</v>
      </c>
      <c r="I2" s="25" t="s">
        <v>234</v>
      </c>
      <c r="J2" s="22"/>
      <c r="K2" s="2"/>
      <c r="L2" s="162" t="s">
        <v>43</v>
      </c>
      <c r="M2" s="104" t="s">
        <v>42</v>
      </c>
      <c r="N2" s="1" t="s">
        <v>41</v>
      </c>
      <c r="Q2" s="10" t="s">
        <v>236</v>
      </c>
      <c r="R2" s="10" t="s">
        <v>44</v>
      </c>
      <c r="S2" s="10" t="s">
        <v>235</v>
      </c>
      <c r="V2" s="5" t="s">
        <v>244</v>
      </c>
      <c r="W2" s="5" t="s">
        <v>245</v>
      </c>
      <c r="X2" s="5" t="s">
        <v>246</v>
      </c>
      <c r="Y2" s="88" t="s">
        <v>243</v>
      </c>
      <c r="AB2" s="166" t="s">
        <v>39</v>
      </c>
      <c r="AC2" s="167"/>
      <c r="AD2" s="3"/>
      <c r="AE2" s="18" t="s">
        <v>46</v>
      </c>
      <c r="AF2" s="18" t="s">
        <v>47</v>
      </c>
      <c r="AG2" s="19"/>
      <c r="AH2" s="18" t="s">
        <v>46</v>
      </c>
      <c r="AI2" s="18" t="s">
        <v>47</v>
      </c>
      <c r="AJ2" s="19"/>
      <c r="AK2" s="18" t="s">
        <v>46</v>
      </c>
      <c r="AL2" s="18" t="s">
        <v>47</v>
      </c>
      <c r="AM2" s="19"/>
      <c r="AN2" s="18" t="s">
        <v>46</v>
      </c>
      <c r="AO2" s="18" t="s">
        <v>47</v>
      </c>
      <c r="AP2" s="19"/>
      <c r="AQ2" s="18" t="s">
        <v>46</v>
      </c>
      <c r="AR2" s="18" t="s">
        <v>47</v>
      </c>
      <c r="AS2" s="10"/>
      <c r="AT2" s="18" t="s">
        <v>46</v>
      </c>
      <c r="AU2" s="18" t="s">
        <v>47</v>
      </c>
      <c r="AV2" s="10"/>
      <c r="AW2" s="18" t="s">
        <v>46</v>
      </c>
      <c r="AX2" s="18" t="s">
        <v>47</v>
      </c>
      <c r="AY2" s="82" t="s">
        <v>219</v>
      </c>
      <c r="AZ2" s="162" t="s">
        <v>48</v>
      </c>
    </row>
    <row r="3" spans="1:52" x14ac:dyDescent="0.35">
      <c r="A3" s="162"/>
      <c r="B3" s="6">
        <v>1</v>
      </c>
      <c r="C3" s="27">
        <v>2</v>
      </c>
      <c r="D3" s="26">
        <v>0</v>
      </c>
      <c r="E3" s="26">
        <v>1</v>
      </c>
      <c r="F3" s="26">
        <v>2</v>
      </c>
      <c r="G3" s="26">
        <v>3</v>
      </c>
      <c r="H3" s="26">
        <v>4</v>
      </c>
      <c r="I3" s="26">
        <v>5</v>
      </c>
      <c r="J3" s="23"/>
      <c r="K3" s="2"/>
      <c r="L3" s="162"/>
      <c r="M3" s="103">
        <v>0</v>
      </c>
      <c r="N3" s="7">
        <v>1</v>
      </c>
      <c r="Q3" s="10">
        <v>1</v>
      </c>
      <c r="R3" s="10">
        <v>2</v>
      </c>
      <c r="S3" s="10">
        <v>3</v>
      </c>
      <c r="V3" s="87">
        <v>0</v>
      </c>
      <c r="W3" s="87">
        <v>1</v>
      </c>
      <c r="X3" s="87">
        <v>2</v>
      </c>
      <c r="Y3" s="6">
        <v>3</v>
      </c>
      <c r="AB3" s="14">
        <v>0</v>
      </c>
      <c r="AC3" s="14">
        <v>1</v>
      </c>
      <c r="AD3" s="3"/>
      <c r="AE3" s="17">
        <v>1</v>
      </c>
      <c r="AF3" s="6">
        <v>2</v>
      </c>
      <c r="AG3" s="9"/>
      <c r="AH3" s="17">
        <v>3</v>
      </c>
      <c r="AI3" s="6">
        <v>4</v>
      </c>
      <c r="AJ3" s="9"/>
      <c r="AK3" s="17">
        <v>5</v>
      </c>
      <c r="AL3" s="6">
        <v>6</v>
      </c>
      <c r="AN3" s="17">
        <v>7</v>
      </c>
      <c r="AO3" s="6">
        <v>8</v>
      </c>
      <c r="AQ3" s="17">
        <v>9</v>
      </c>
      <c r="AR3" s="6">
        <v>10</v>
      </c>
      <c r="AT3" s="17">
        <v>11</v>
      </c>
      <c r="AU3" s="6">
        <v>12</v>
      </c>
      <c r="AW3" s="17">
        <v>13</v>
      </c>
      <c r="AX3" s="6">
        <v>14</v>
      </c>
      <c r="AY3" t="s">
        <v>220</v>
      </c>
      <c r="AZ3" s="162">
        <v>13</v>
      </c>
    </row>
    <row r="4" spans="1:52" x14ac:dyDescent="0.35">
      <c r="A4" s="11">
        <v>1</v>
      </c>
      <c r="B4" s="29" t="s">
        <v>49</v>
      </c>
      <c r="C4" s="30">
        <v>70</v>
      </c>
      <c r="D4" s="30">
        <v>1</v>
      </c>
      <c r="E4" s="86">
        <v>1</v>
      </c>
      <c r="F4" s="86">
        <v>1</v>
      </c>
      <c r="G4" s="28">
        <v>0</v>
      </c>
      <c r="H4" s="86">
        <f>IF(G4=0,IF(C4&lt;67,0,1),IF(C4&lt;26,0,1))</f>
        <v>1</v>
      </c>
      <c r="I4" s="86" t="s">
        <v>237</v>
      </c>
      <c r="J4" s="24"/>
      <c r="K4" s="163" t="s">
        <v>0</v>
      </c>
      <c r="L4" s="71">
        <v>1</v>
      </c>
      <c r="M4" s="72" t="s">
        <v>15</v>
      </c>
      <c r="N4" s="72">
        <v>66</v>
      </c>
      <c r="P4" s="85">
        <v>1</v>
      </c>
      <c r="Q4" s="10" t="s">
        <v>237</v>
      </c>
      <c r="R4" s="10">
        <v>4</v>
      </c>
      <c r="S4" s="10">
        <v>6</v>
      </c>
      <c r="U4" s="10">
        <v>0</v>
      </c>
      <c r="V4" s="10">
        <v>25</v>
      </c>
      <c r="W4" s="10">
        <v>86</v>
      </c>
      <c r="X4" s="10">
        <v>100</v>
      </c>
      <c r="Y4" s="10">
        <v>1</v>
      </c>
      <c r="AA4" s="14"/>
      <c r="AB4" s="4"/>
      <c r="AC4" s="4"/>
      <c r="AD4" s="3"/>
      <c r="AE4" s="77">
        <v>1</v>
      </c>
      <c r="AF4" s="77">
        <v>12</v>
      </c>
      <c r="AG4" s="78"/>
      <c r="AH4" s="77">
        <v>23</v>
      </c>
      <c r="AI4" s="77">
        <v>37</v>
      </c>
      <c r="AJ4" s="76"/>
      <c r="AK4" s="77">
        <v>49</v>
      </c>
      <c r="AL4" s="77">
        <v>67</v>
      </c>
      <c r="AM4" s="79"/>
      <c r="AN4" s="77">
        <v>82</v>
      </c>
      <c r="AO4" s="77">
        <v>92</v>
      </c>
      <c r="AP4" s="79"/>
      <c r="AQ4" s="77">
        <v>103</v>
      </c>
      <c r="AR4" s="77">
        <v>112</v>
      </c>
      <c r="AS4" s="79"/>
      <c r="AT4" s="77">
        <v>125</v>
      </c>
      <c r="AU4" s="77">
        <v>138</v>
      </c>
      <c r="AV4" s="79"/>
      <c r="AW4" s="77">
        <v>150</v>
      </c>
      <c r="AX4" s="77">
        <v>161</v>
      </c>
      <c r="AY4" t="s">
        <v>221</v>
      </c>
      <c r="AZ4" s="4">
        <v>14</v>
      </c>
    </row>
    <row r="5" spans="1:52" x14ac:dyDescent="0.35">
      <c r="A5" s="11">
        <v>2</v>
      </c>
      <c r="B5" s="31" t="s">
        <v>50</v>
      </c>
      <c r="C5" s="30">
        <v>71</v>
      </c>
      <c r="D5" s="30">
        <v>1</v>
      </c>
      <c r="E5" s="86">
        <v>1</v>
      </c>
      <c r="F5" s="102">
        <v>1</v>
      </c>
      <c r="G5" s="28">
        <v>0</v>
      </c>
      <c r="H5" s="86">
        <f t="shared" ref="H5:H68" si="0">IF(G5=0,IF(C5&lt;67,0,1),IF(C5&lt;26,0,1))</f>
        <v>1</v>
      </c>
      <c r="I5" s="86">
        <v>0</v>
      </c>
      <c r="J5" s="24"/>
      <c r="K5" s="164"/>
      <c r="L5" s="71">
        <v>2</v>
      </c>
      <c r="M5" s="72" t="s">
        <v>16</v>
      </c>
      <c r="N5" s="72">
        <v>66</v>
      </c>
      <c r="P5" s="85">
        <v>2</v>
      </c>
      <c r="Q5" s="10" t="s">
        <v>238</v>
      </c>
      <c r="R5" s="10">
        <v>4</v>
      </c>
      <c r="S5" s="10">
        <v>7</v>
      </c>
      <c r="U5" s="10">
        <v>1</v>
      </c>
      <c r="V5" s="10">
        <v>44</v>
      </c>
      <c r="W5" s="10">
        <v>136</v>
      </c>
      <c r="X5" s="10">
        <v>100</v>
      </c>
      <c r="Y5" s="10">
        <v>0</v>
      </c>
      <c r="AA5" s="14"/>
      <c r="AB5" s="4"/>
      <c r="AC5" s="4"/>
      <c r="AD5" s="3"/>
      <c r="AE5" s="77">
        <v>2</v>
      </c>
      <c r="AF5" s="77">
        <v>13</v>
      </c>
      <c r="AG5" s="78"/>
      <c r="AH5" s="77">
        <v>24</v>
      </c>
      <c r="AI5" s="77">
        <v>38</v>
      </c>
      <c r="AJ5" s="76"/>
      <c r="AK5" s="77">
        <v>50</v>
      </c>
      <c r="AL5" s="77">
        <v>68</v>
      </c>
      <c r="AM5" s="79"/>
      <c r="AN5" s="77">
        <v>83</v>
      </c>
      <c r="AO5" s="77">
        <v>93</v>
      </c>
      <c r="AP5" s="79"/>
      <c r="AQ5" s="77">
        <v>104</v>
      </c>
      <c r="AR5" s="77">
        <v>113</v>
      </c>
      <c r="AS5" s="79"/>
      <c r="AT5" s="77">
        <v>126</v>
      </c>
      <c r="AU5" s="77">
        <v>139</v>
      </c>
      <c r="AV5" s="79"/>
      <c r="AW5" s="77">
        <v>151</v>
      </c>
      <c r="AX5" s="77">
        <v>162</v>
      </c>
      <c r="AY5" t="s">
        <v>222</v>
      </c>
      <c r="AZ5" s="4">
        <v>15</v>
      </c>
    </row>
    <row r="6" spans="1:52" x14ac:dyDescent="0.35">
      <c r="A6" s="11">
        <v>3</v>
      </c>
      <c r="B6" s="32" t="s">
        <v>51</v>
      </c>
      <c r="C6" s="30">
        <v>71</v>
      </c>
      <c r="D6" s="30">
        <v>1</v>
      </c>
      <c r="E6" s="86">
        <v>1</v>
      </c>
      <c r="F6" s="102">
        <v>1</v>
      </c>
      <c r="G6" s="28">
        <v>0</v>
      </c>
      <c r="H6" s="86">
        <f t="shared" si="0"/>
        <v>1</v>
      </c>
      <c r="I6" s="86">
        <v>0</v>
      </c>
      <c r="J6" s="24"/>
      <c r="K6" s="164"/>
      <c r="L6" s="71">
        <v>3</v>
      </c>
      <c r="M6" s="72" t="s">
        <v>17</v>
      </c>
      <c r="N6" s="72">
        <v>66</v>
      </c>
      <c r="P6" s="85">
        <v>3</v>
      </c>
      <c r="Q6" s="10" t="s">
        <v>239</v>
      </c>
      <c r="R6" s="10">
        <v>5</v>
      </c>
      <c r="S6" s="10">
        <v>6</v>
      </c>
      <c r="U6" s="10">
        <v>2</v>
      </c>
      <c r="V6" s="10">
        <v>34</v>
      </c>
      <c r="W6" s="10">
        <v>135</v>
      </c>
      <c r="X6" s="10">
        <v>100</v>
      </c>
      <c r="Y6" s="10">
        <v>0</v>
      </c>
      <c r="AA6" s="14"/>
      <c r="AB6" s="4"/>
      <c r="AC6" s="4"/>
      <c r="AD6" s="3"/>
      <c r="AE6" s="77">
        <v>3</v>
      </c>
      <c r="AF6" s="77">
        <v>14</v>
      </c>
      <c r="AG6" s="78"/>
      <c r="AH6" s="77">
        <v>25</v>
      </c>
      <c r="AI6" s="77">
        <v>39</v>
      </c>
      <c r="AJ6" s="76"/>
      <c r="AK6" s="77">
        <v>51</v>
      </c>
      <c r="AL6" s="77">
        <v>69</v>
      </c>
      <c r="AM6" s="79"/>
      <c r="AN6" s="77">
        <v>84</v>
      </c>
      <c r="AO6" s="77">
        <v>94</v>
      </c>
      <c r="AP6" s="79"/>
      <c r="AQ6" s="77">
        <v>105</v>
      </c>
      <c r="AR6" s="77">
        <v>114</v>
      </c>
      <c r="AS6" s="79"/>
      <c r="AT6" s="77">
        <v>127</v>
      </c>
      <c r="AU6" s="77">
        <v>140</v>
      </c>
      <c r="AV6" s="79"/>
      <c r="AW6" s="77">
        <v>152</v>
      </c>
      <c r="AX6" s="77">
        <v>163</v>
      </c>
      <c r="AY6" t="s">
        <v>223</v>
      </c>
      <c r="AZ6" s="4">
        <v>16</v>
      </c>
    </row>
    <row r="7" spans="1:52" x14ac:dyDescent="0.35">
      <c r="A7" s="11">
        <v>4</v>
      </c>
      <c r="B7" s="31" t="s">
        <v>52</v>
      </c>
      <c r="C7" s="30">
        <v>75</v>
      </c>
      <c r="D7" s="30">
        <v>1</v>
      </c>
      <c r="E7" s="86">
        <v>1</v>
      </c>
      <c r="F7" s="102">
        <v>1</v>
      </c>
      <c r="G7" s="28">
        <v>0</v>
      </c>
      <c r="H7" s="86">
        <f t="shared" si="0"/>
        <v>1</v>
      </c>
      <c r="I7" s="86">
        <v>0</v>
      </c>
      <c r="J7" s="24"/>
      <c r="K7" s="164"/>
      <c r="L7" s="71">
        <v>4</v>
      </c>
      <c r="M7" s="72" t="s">
        <v>18</v>
      </c>
      <c r="N7" s="72">
        <v>66</v>
      </c>
      <c r="P7" s="85">
        <v>4</v>
      </c>
      <c r="Q7" s="10" t="s">
        <v>240</v>
      </c>
      <c r="R7" s="10">
        <v>5</v>
      </c>
      <c r="S7" s="10">
        <v>7</v>
      </c>
      <c r="U7" s="10">
        <v>3</v>
      </c>
      <c r="V7" s="10">
        <v>43</v>
      </c>
      <c r="W7" s="10">
        <v>102</v>
      </c>
      <c r="X7" s="10">
        <v>100</v>
      </c>
      <c r="Y7" s="10">
        <v>1</v>
      </c>
      <c r="AA7" s="14"/>
      <c r="AB7" s="4"/>
      <c r="AC7" s="4"/>
      <c r="AD7" s="3"/>
      <c r="AE7" s="77">
        <v>4</v>
      </c>
      <c r="AF7" s="77">
        <v>15</v>
      </c>
      <c r="AG7" s="78"/>
      <c r="AH7" s="77">
        <v>26</v>
      </c>
      <c r="AI7" s="77">
        <v>40</v>
      </c>
      <c r="AJ7" s="76"/>
      <c r="AK7" s="77">
        <v>52</v>
      </c>
      <c r="AL7" s="77">
        <v>70</v>
      </c>
      <c r="AM7" s="79"/>
      <c r="AN7" s="77">
        <v>85</v>
      </c>
      <c r="AO7" s="77">
        <v>95</v>
      </c>
      <c r="AP7" s="79"/>
      <c r="AQ7" s="77">
        <v>106</v>
      </c>
      <c r="AR7" s="77">
        <v>115</v>
      </c>
      <c r="AS7" s="79"/>
      <c r="AT7" s="77">
        <v>128</v>
      </c>
      <c r="AU7" s="77">
        <v>141</v>
      </c>
      <c r="AV7" s="79"/>
      <c r="AW7" s="77">
        <v>153</v>
      </c>
      <c r="AX7" s="77">
        <v>164</v>
      </c>
      <c r="AY7" t="s">
        <v>224</v>
      </c>
      <c r="AZ7" s="4">
        <v>17</v>
      </c>
    </row>
    <row r="8" spans="1:52" x14ac:dyDescent="0.35">
      <c r="A8" s="11">
        <v>5</v>
      </c>
      <c r="B8" s="29" t="s">
        <v>53</v>
      </c>
      <c r="C8" s="30">
        <v>75</v>
      </c>
      <c r="D8" s="30">
        <v>1</v>
      </c>
      <c r="E8" s="86">
        <v>1</v>
      </c>
      <c r="F8" s="102">
        <v>1</v>
      </c>
      <c r="G8" s="28">
        <v>0</v>
      </c>
      <c r="H8" s="86">
        <f t="shared" si="0"/>
        <v>1</v>
      </c>
      <c r="I8" s="86">
        <v>0</v>
      </c>
      <c r="J8" s="24"/>
      <c r="K8" s="164"/>
      <c r="L8" s="71">
        <v>5</v>
      </c>
      <c r="M8" s="72" t="s">
        <v>19</v>
      </c>
      <c r="N8" s="72">
        <v>66</v>
      </c>
      <c r="P8" s="85">
        <v>6</v>
      </c>
      <c r="Q8" s="10" t="s">
        <v>241</v>
      </c>
      <c r="R8" s="10">
        <v>6</v>
      </c>
      <c r="S8" s="10">
        <v>6</v>
      </c>
      <c r="U8" s="10">
        <v>4</v>
      </c>
      <c r="V8" s="10">
        <v>4</v>
      </c>
      <c r="W8" s="10">
        <v>27</v>
      </c>
      <c r="X8" s="10">
        <v>200</v>
      </c>
      <c r="Y8" s="10">
        <v>1</v>
      </c>
      <c r="AA8" s="14"/>
      <c r="AB8" s="4"/>
      <c r="AC8" s="4"/>
      <c r="AD8" s="3"/>
      <c r="AE8" s="77">
        <v>5</v>
      </c>
      <c r="AF8" s="77">
        <v>16</v>
      </c>
      <c r="AG8" s="78"/>
      <c r="AH8" s="77">
        <v>27</v>
      </c>
      <c r="AI8" s="77">
        <v>41</v>
      </c>
      <c r="AJ8" s="76"/>
      <c r="AK8" s="77">
        <v>53</v>
      </c>
      <c r="AL8" s="77">
        <v>71</v>
      </c>
      <c r="AM8" s="79"/>
      <c r="AN8" s="77">
        <v>86</v>
      </c>
      <c r="AO8" s="77">
        <v>96</v>
      </c>
      <c r="AP8" s="79"/>
      <c r="AQ8" s="77">
        <v>107</v>
      </c>
      <c r="AR8" s="77">
        <v>116</v>
      </c>
      <c r="AS8" s="79"/>
      <c r="AT8" s="77">
        <v>129</v>
      </c>
      <c r="AU8" s="77">
        <v>142</v>
      </c>
      <c r="AV8" s="79"/>
      <c r="AW8" s="77">
        <v>154</v>
      </c>
      <c r="AX8" s="77">
        <v>165</v>
      </c>
      <c r="AY8" t="s">
        <v>225</v>
      </c>
      <c r="AZ8" s="4">
        <v>18</v>
      </c>
    </row>
    <row r="9" spans="1:52" x14ac:dyDescent="0.35">
      <c r="A9" s="11">
        <v>6</v>
      </c>
      <c r="B9" s="31" t="s">
        <v>54</v>
      </c>
      <c r="C9" s="30">
        <v>88</v>
      </c>
      <c r="D9" s="30">
        <v>1</v>
      </c>
      <c r="E9" s="86">
        <v>1</v>
      </c>
      <c r="F9" s="102">
        <v>1</v>
      </c>
      <c r="G9" s="28">
        <v>0</v>
      </c>
      <c r="H9" s="86">
        <f t="shared" si="0"/>
        <v>1</v>
      </c>
      <c r="I9" s="86">
        <v>0</v>
      </c>
      <c r="J9" s="24"/>
      <c r="K9" s="164"/>
      <c r="L9" s="71">
        <v>6</v>
      </c>
      <c r="M9" s="72" t="s">
        <v>283</v>
      </c>
      <c r="N9" s="72">
        <v>48</v>
      </c>
      <c r="P9" s="85">
        <v>7</v>
      </c>
      <c r="Q9" s="10" t="s">
        <v>242</v>
      </c>
      <c r="R9" s="10">
        <v>6</v>
      </c>
      <c r="S9" s="10">
        <v>7</v>
      </c>
      <c r="U9" s="10">
        <v>5</v>
      </c>
      <c r="V9" s="10">
        <v>27</v>
      </c>
      <c r="W9" s="10">
        <v>58</v>
      </c>
      <c r="X9" s="10">
        <v>200</v>
      </c>
      <c r="Y9" s="10">
        <v>1</v>
      </c>
      <c r="AA9" s="14"/>
      <c r="AB9" s="4"/>
      <c r="AC9" s="4"/>
      <c r="AD9" s="3"/>
      <c r="AE9" s="77">
        <v>6</v>
      </c>
      <c r="AF9" s="77">
        <v>17</v>
      </c>
      <c r="AG9" s="78"/>
      <c r="AH9" s="77">
        <v>28</v>
      </c>
      <c r="AI9" s="77">
        <v>42</v>
      </c>
      <c r="AJ9" s="76"/>
      <c r="AK9" s="77">
        <v>54</v>
      </c>
      <c r="AL9" s="77">
        <v>72</v>
      </c>
      <c r="AM9" s="79"/>
      <c r="AN9" s="77">
        <v>87</v>
      </c>
      <c r="AO9" s="77">
        <v>97</v>
      </c>
      <c r="AP9" s="79"/>
      <c r="AQ9" s="77">
        <v>108</v>
      </c>
      <c r="AR9" s="77">
        <v>117</v>
      </c>
      <c r="AS9" s="79"/>
      <c r="AT9" s="77">
        <v>130</v>
      </c>
      <c r="AU9" s="77">
        <v>143</v>
      </c>
      <c r="AV9" s="79"/>
      <c r="AW9" s="77">
        <v>155</v>
      </c>
      <c r="AX9" s="77">
        <v>166</v>
      </c>
      <c r="AY9" t="s">
        <v>226</v>
      </c>
      <c r="AZ9" s="4"/>
    </row>
    <row r="10" spans="1:52" x14ac:dyDescent="0.35">
      <c r="A10" s="11">
        <v>7</v>
      </c>
      <c r="B10" s="29" t="s">
        <v>55</v>
      </c>
      <c r="C10" s="33">
        <v>71</v>
      </c>
      <c r="D10" s="33">
        <v>1</v>
      </c>
      <c r="E10" s="86">
        <v>1</v>
      </c>
      <c r="F10" s="102">
        <v>1</v>
      </c>
      <c r="G10" s="28">
        <v>1</v>
      </c>
      <c r="H10" s="86">
        <f t="shared" si="0"/>
        <v>1</v>
      </c>
      <c r="I10" s="86">
        <v>0</v>
      </c>
      <c r="J10" s="24"/>
      <c r="K10" s="164"/>
      <c r="L10" s="71">
        <v>7</v>
      </c>
      <c r="M10" s="72" t="s">
        <v>284</v>
      </c>
      <c r="N10" s="72">
        <v>45</v>
      </c>
      <c r="P10" s="85"/>
      <c r="Q10" s="10"/>
      <c r="R10" s="10"/>
      <c r="S10" s="10"/>
      <c r="U10" s="10">
        <v>6</v>
      </c>
      <c r="V10" s="10">
        <v>58</v>
      </c>
      <c r="W10" s="10">
        <v>59</v>
      </c>
      <c r="X10" s="10">
        <v>200</v>
      </c>
      <c r="Y10" s="10">
        <v>1</v>
      </c>
      <c r="AA10" s="14"/>
      <c r="AB10" s="4"/>
      <c r="AC10" s="4"/>
      <c r="AD10" s="3"/>
      <c r="AE10" s="77">
        <v>7</v>
      </c>
      <c r="AF10" s="77">
        <v>18</v>
      </c>
      <c r="AG10" s="78"/>
      <c r="AH10" s="77">
        <v>29</v>
      </c>
      <c r="AI10" s="77">
        <v>43</v>
      </c>
      <c r="AJ10" s="76"/>
      <c r="AK10" s="77">
        <v>55</v>
      </c>
      <c r="AL10" s="77">
        <v>73</v>
      </c>
      <c r="AM10" s="79"/>
      <c r="AN10" s="77">
        <v>88</v>
      </c>
      <c r="AO10" s="77">
        <v>98</v>
      </c>
      <c r="AP10" s="79"/>
      <c r="AQ10" s="77">
        <v>109</v>
      </c>
      <c r="AR10" s="77">
        <v>118</v>
      </c>
      <c r="AS10" s="79"/>
      <c r="AT10" s="77">
        <v>131</v>
      </c>
      <c r="AU10" s="77">
        <v>144</v>
      </c>
      <c r="AV10" s="79"/>
      <c r="AW10" s="77">
        <v>156</v>
      </c>
      <c r="AX10" s="77">
        <v>167</v>
      </c>
      <c r="AY10" t="s">
        <v>227</v>
      </c>
      <c r="AZ10" s="4"/>
    </row>
    <row r="11" spans="1:52" x14ac:dyDescent="0.35">
      <c r="A11" s="11">
        <v>8</v>
      </c>
      <c r="B11" s="29" t="s">
        <v>56</v>
      </c>
      <c r="C11" s="30">
        <v>23</v>
      </c>
      <c r="D11" s="30">
        <v>0</v>
      </c>
      <c r="E11" s="86">
        <v>1</v>
      </c>
      <c r="F11" s="102">
        <v>1</v>
      </c>
      <c r="G11" s="28">
        <v>0</v>
      </c>
      <c r="H11" s="86">
        <f t="shared" si="0"/>
        <v>0</v>
      </c>
      <c r="I11" s="86">
        <v>0</v>
      </c>
      <c r="J11" s="24"/>
      <c r="K11" s="164"/>
      <c r="L11" s="71">
        <v>8</v>
      </c>
      <c r="M11" s="72" t="s">
        <v>285</v>
      </c>
      <c r="N11" s="72">
        <v>45</v>
      </c>
      <c r="P11" s="85"/>
      <c r="Q11" s="10"/>
      <c r="R11" s="10"/>
      <c r="S11" s="10"/>
      <c r="U11" s="10">
        <v>7</v>
      </c>
      <c r="V11" s="10">
        <v>59</v>
      </c>
      <c r="W11" s="10">
        <v>130</v>
      </c>
      <c r="X11" s="10">
        <v>200</v>
      </c>
      <c r="Y11" s="10">
        <v>1</v>
      </c>
      <c r="AA11" s="14"/>
      <c r="AB11" s="4"/>
      <c r="AC11" s="4"/>
      <c r="AD11" s="3"/>
      <c r="AE11" s="77">
        <v>8</v>
      </c>
      <c r="AF11" s="77">
        <v>19</v>
      </c>
      <c r="AG11" s="78"/>
      <c r="AH11" s="77">
        <v>30</v>
      </c>
      <c r="AI11" s="77">
        <v>44</v>
      </c>
      <c r="AJ11" s="76"/>
      <c r="AK11" s="77">
        <v>56</v>
      </c>
      <c r="AL11" s="77">
        <v>74</v>
      </c>
      <c r="AM11" s="79"/>
      <c r="AN11" s="77">
        <v>89</v>
      </c>
      <c r="AO11" s="77">
        <v>99</v>
      </c>
      <c r="AP11" s="79"/>
      <c r="AQ11" s="77">
        <v>110</v>
      </c>
      <c r="AR11" s="77">
        <v>119</v>
      </c>
      <c r="AS11" s="79"/>
      <c r="AT11" s="77">
        <v>132</v>
      </c>
      <c r="AU11" s="77">
        <v>145</v>
      </c>
      <c r="AV11" s="79"/>
      <c r="AW11" s="77">
        <v>157</v>
      </c>
      <c r="AX11" s="77">
        <v>168</v>
      </c>
      <c r="AY11" t="s">
        <v>228</v>
      </c>
      <c r="AZ11" s="4"/>
    </row>
    <row r="12" spans="1:52" x14ac:dyDescent="0.35">
      <c r="A12" s="11">
        <v>9</v>
      </c>
      <c r="B12" s="31" t="s">
        <v>57</v>
      </c>
      <c r="C12" s="30">
        <v>50</v>
      </c>
      <c r="D12" s="30">
        <v>0</v>
      </c>
      <c r="E12" s="86">
        <v>1</v>
      </c>
      <c r="F12" s="102">
        <v>1</v>
      </c>
      <c r="G12" s="28">
        <v>0</v>
      </c>
      <c r="H12" s="86">
        <f t="shared" si="0"/>
        <v>0</v>
      </c>
      <c r="I12" s="86">
        <v>0</v>
      </c>
      <c r="J12" s="24"/>
      <c r="K12" s="164"/>
      <c r="L12" s="71">
        <v>9</v>
      </c>
      <c r="M12" s="72" t="s">
        <v>286</v>
      </c>
      <c r="N12" s="72">
        <v>45</v>
      </c>
      <c r="P12" s="85"/>
      <c r="Q12" s="10"/>
      <c r="R12" s="10"/>
      <c r="S12" s="10"/>
      <c r="U12" s="10">
        <v>8</v>
      </c>
      <c r="V12" s="10">
        <v>18</v>
      </c>
      <c r="W12" s="10">
        <v>66</v>
      </c>
      <c r="X12" s="10">
        <v>50</v>
      </c>
      <c r="Y12" s="10">
        <v>0</v>
      </c>
      <c r="AA12" s="14"/>
      <c r="AB12" s="4"/>
      <c r="AC12" s="4"/>
      <c r="AD12" s="3"/>
      <c r="AE12" s="77">
        <v>9</v>
      </c>
      <c r="AF12" s="77">
        <v>20</v>
      </c>
      <c r="AG12" s="78"/>
      <c r="AH12" s="77">
        <v>31</v>
      </c>
      <c r="AI12" s="77">
        <v>45</v>
      </c>
      <c r="AJ12" s="76"/>
      <c r="AK12" s="77">
        <v>57</v>
      </c>
      <c r="AL12" s="77">
        <v>75</v>
      </c>
      <c r="AM12" s="79"/>
      <c r="AN12" s="77">
        <v>90</v>
      </c>
      <c r="AO12" s="77">
        <v>100</v>
      </c>
      <c r="AP12" s="79"/>
      <c r="AQ12" s="77">
        <v>111</v>
      </c>
      <c r="AR12" s="77">
        <v>120</v>
      </c>
      <c r="AS12" s="79"/>
      <c r="AT12" s="77">
        <v>133</v>
      </c>
      <c r="AU12" s="77">
        <v>146</v>
      </c>
      <c r="AV12" s="79"/>
      <c r="AW12" s="77">
        <v>158</v>
      </c>
      <c r="AX12" s="77">
        <v>169</v>
      </c>
      <c r="AY12" t="s">
        <v>229</v>
      </c>
      <c r="AZ12" s="4"/>
    </row>
    <row r="13" spans="1:52" x14ac:dyDescent="0.35">
      <c r="A13" s="11">
        <v>10</v>
      </c>
      <c r="B13" s="29" t="s">
        <v>58</v>
      </c>
      <c r="C13" s="30">
        <v>74</v>
      </c>
      <c r="D13" s="30">
        <v>1</v>
      </c>
      <c r="E13" s="86">
        <v>1</v>
      </c>
      <c r="F13" s="102">
        <v>1</v>
      </c>
      <c r="G13" s="28">
        <v>0</v>
      </c>
      <c r="H13" s="86">
        <f t="shared" si="0"/>
        <v>1</v>
      </c>
      <c r="I13" s="86" t="s">
        <v>241</v>
      </c>
      <c r="J13" s="24"/>
      <c r="K13" s="164"/>
      <c r="L13" s="71">
        <v>10</v>
      </c>
      <c r="M13" s="72" t="s">
        <v>287</v>
      </c>
      <c r="N13" s="72">
        <v>43</v>
      </c>
      <c r="P13" s="85"/>
      <c r="Q13" s="10"/>
      <c r="R13" s="10"/>
      <c r="S13" s="10"/>
      <c r="U13" s="10">
        <v>9</v>
      </c>
      <c r="V13" s="10">
        <v>66</v>
      </c>
      <c r="W13" s="10">
        <v>97</v>
      </c>
      <c r="X13" s="10">
        <v>50</v>
      </c>
      <c r="Y13" s="10">
        <v>0</v>
      </c>
      <c r="AA13" s="14"/>
      <c r="AB13" s="4"/>
      <c r="AC13" s="4"/>
      <c r="AD13" s="3"/>
      <c r="AE13" s="77">
        <v>10</v>
      </c>
      <c r="AF13" s="77">
        <v>21</v>
      </c>
      <c r="AG13" s="78"/>
      <c r="AH13" s="77">
        <v>32</v>
      </c>
      <c r="AI13" s="77">
        <v>46</v>
      </c>
      <c r="AJ13" s="76"/>
      <c r="AK13" s="77">
        <v>58</v>
      </c>
      <c r="AL13" s="77">
        <v>76</v>
      </c>
      <c r="AM13" s="79"/>
      <c r="AN13" s="77">
        <v>91</v>
      </c>
      <c r="AO13" s="77">
        <v>101</v>
      </c>
      <c r="AP13" s="79"/>
      <c r="AQ13" s="77"/>
      <c r="AR13" s="77">
        <v>121</v>
      </c>
      <c r="AS13" s="79"/>
      <c r="AT13" s="77">
        <v>134</v>
      </c>
      <c r="AU13" s="77">
        <v>147</v>
      </c>
      <c r="AV13" s="79"/>
      <c r="AW13" s="77">
        <v>159</v>
      </c>
      <c r="AX13" s="77">
        <v>170</v>
      </c>
      <c r="AY13" t="s">
        <v>230</v>
      </c>
    </row>
    <row r="14" spans="1:52" x14ac:dyDescent="0.35">
      <c r="A14" s="11">
        <v>11</v>
      </c>
      <c r="B14" s="31" t="s">
        <v>59</v>
      </c>
      <c r="C14" s="30">
        <v>70</v>
      </c>
      <c r="D14" s="30">
        <v>1</v>
      </c>
      <c r="E14" s="86">
        <v>1</v>
      </c>
      <c r="F14" s="102">
        <v>1</v>
      </c>
      <c r="G14" s="28">
        <v>0</v>
      </c>
      <c r="H14" s="86">
        <f t="shared" si="0"/>
        <v>1</v>
      </c>
      <c r="I14" s="86" t="s">
        <v>239</v>
      </c>
      <c r="J14" s="24"/>
      <c r="K14" s="165"/>
      <c r="L14" s="71">
        <v>11</v>
      </c>
      <c r="M14" s="72" t="s">
        <v>288</v>
      </c>
      <c r="N14" s="72">
        <v>45</v>
      </c>
      <c r="P14" s="85"/>
      <c r="Q14" s="10"/>
      <c r="R14" s="10"/>
      <c r="S14" s="10"/>
      <c r="U14" s="10">
        <v>10</v>
      </c>
      <c r="V14" s="10">
        <v>17</v>
      </c>
      <c r="W14" s="10">
        <v>38</v>
      </c>
      <c r="X14" s="10">
        <v>50</v>
      </c>
      <c r="Y14" s="10">
        <v>0</v>
      </c>
      <c r="AA14" s="14"/>
      <c r="AB14" s="4"/>
      <c r="AC14" s="4"/>
      <c r="AD14" s="3"/>
      <c r="AE14" s="77">
        <v>11</v>
      </c>
      <c r="AF14" s="77">
        <v>22</v>
      </c>
      <c r="AG14" s="78"/>
      <c r="AH14" s="77">
        <v>33</v>
      </c>
      <c r="AI14" s="77">
        <v>47</v>
      </c>
      <c r="AJ14" s="76"/>
      <c r="AK14" s="77">
        <v>59</v>
      </c>
      <c r="AL14" s="77">
        <v>77</v>
      </c>
      <c r="AM14" s="79"/>
      <c r="AN14" s="80"/>
      <c r="AO14" s="77">
        <v>102</v>
      </c>
      <c r="AP14" s="79"/>
      <c r="AQ14" s="77"/>
      <c r="AR14" s="77">
        <v>122</v>
      </c>
      <c r="AS14" s="79"/>
      <c r="AT14" s="77">
        <v>135</v>
      </c>
      <c r="AU14" s="77">
        <v>148</v>
      </c>
      <c r="AV14" s="79"/>
      <c r="AW14" s="77">
        <v>160</v>
      </c>
      <c r="AX14" s="77">
        <v>171</v>
      </c>
      <c r="AY14" t="s">
        <v>231</v>
      </c>
    </row>
    <row r="15" spans="1:52" x14ac:dyDescent="0.35">
      <c r="A15" s="11">
        <v>12</v>
      </c>
      <c r="B15" s="29" t="s">
        <v>60</v>
      </c>
      <c r="C15" s="30">
        <v>24</v>
      </c>
      <c r="D15" s="30">
        <v>0</v>
      </c>
      <c r="E15" s="86">
        <v>1</v>
      </c>
      <c r="F15" s="102">
        <v>1</v>
      </c>
      <c r="G15" s="28">
        <v>0</v>
      </c>
      <c r="H15" s="86">
        <f t="shared" si="0"/>
        <v>0</v>
      </c>
      <c r="I15" s="86">
        <v>0</v>
      </c>
      <c r="J15" s="24"/>
      <c r="K15" s="163" t="s">
        <v>21</v>
      </c>
      <c r="L15" s="71">
        <v>12</v>
      </c>
      <c r="M15" s="72" t="s">
        <v>297</v>
      </c>
      <c r="N15" s="72">
        <v>25</v>
      </c>
      <c r="P15" s="85"/>
      <c r="Q15" s="10"/>
      <c r="R15" s="10"/>
      <c r="S15" s="10"/>
      <c r="U15" s="10">
        <v>11</v>
      </c>
      <c r="V15" s="10">
        <v>39</v>
      </c>
      <c r="W15" s="10">
        <v>119</v>
      </c>
      <c r="X15" s="10">
        <v>100</v>
      </c>
      <c r="Y15" s="10">
        <v>1</v>
      </c>
      <c r="AA15" s="14"/>
      <c r="AB15" s="4"/>
      <c r="AC15" s="4"/>
      <c r="AD15" s="3"/>
      <c r="AE15" s="77"/>
      <c r="AF15" s="77"/>
      <c r="AG15" s="78"/>
      <c r="AH15" s="77">
        <v>34</v>
      </c>
      <c r="AI15" s="77">
        <v>48</v>
      </c>
      <c r="AJ15" s="76"/>
      <c r="AK15" s="77">
        <v>60</v>
      </c>
      <c r="AL15" s="77">
        <v>78</v>
      </c>
      <c r="AM15" s="79"/>
      <c r="AN15" s="80"/>
      <c r="AO15" s="77"/>
      <c r="AP15" s="79"/>
      <c r="AQ15" s="77"/>
      <c r="AR15" s="77">
        <v>123</v>
      </c>
      <c r="AS15" s="79"/>
      <c r="AT15" s="77">
        <v>136</v>
      </c>
      <c r="AU15" s="77">
        <v>149</v>
      </c>
      <c r="AV15" s="79"/>
      <c r="AW15" s="77"/>
      <c r="AX15" s="77"/>
      <c r="AY15" t="s">
        <v>232</v>
      </c>
    </row>
    <row r="16" spans="1:52" ht="15" thickBot="1" x14ac:dyDescent="0.4">
      <c r="A16" s="11">
        <v>13</v>
      </c>
      <c r="B16" s="31" t="s">
        <v>61</v>
      </c>
      <c r="C16" s="30">
        <v>26</v>
      </c>
      <c r="D16" s="30">
        <v>0</v>
      </c>
      <c r="E16" s="86">
        <v>1</v>
      </c>
      <c r="F16" s="102">
        <v>1</v>
      </c>
      <c r="G16" s="28">
        <v>0</v>
      </c>
      <c r="H16" s="86">
        <f t="shared" si="0"/>
        <v>0</v>
      </c>
      <c r="I16" s="86">
        <v>0</v>
      </c>
      <c r="J16" s="24"/>
      <c r="K16" s="164"/>
      <c r="L16" s="73">
        <v>13</v>
      </c>
      <c r="M16" s="73" t="s">
        <v>298</v>
      </c>
      <c r="N16" s="72">
        <v>25</v>
      </c>
      <c r="P16" s="85"/>
      <c r="Q16" s="10"/>
      <c r="R16" s="10"/>
      <c r="S16" s="10"/>
      <c r="U16" s="10">
        <v>12</v>
      </c>
      <c r="V16" s="10">
        <v>47</v>
      </c>
      <c r="W16" s="10">
        <v>94</v>
      </c>
      <c r="X16" s="10">
        <v>50</v>
      </c>
      <c r="Y16" s="10">
        <v>1</v>
      </c>
      <c r="AA16" s="14"/>
      <c r="AB16" s="4"/>
      <c r="AC16" s="4"/>
      <c r="AD16" s="3"/>
      <c r="AE16" s="77"/>
      <c r="AF16" s="77"/>
      <c r="AG16" s="78"/>
      <c r="AH16" s="77">
        <v>35</v>
      </c>
      <c r="AI16" s="77"/>
      <c r="AJ16" s="76"/>
      <c r="AK16" s="77">
        <v>61</v>
      </c>
      <c r="AL16" s="77">
        <v>79</v>
      </c>
      <c r="AM16" s="79"/>
      <c r="AN16" s="80"/>
      <c r="AO16" s="77"/>
      <c r="AP16" s="79"/>
      <c r="AQ16" s="77"/>
      <c r="AR16" s="77">
        <v>124</v>
      </c>
      <c r="AS16" s="79"/>
      <c r="AT16" s="77">
        <v>137</v>
      </c>
      <c r="AU16" s="77"/>
      <c r="AV16" s="79"/>
      <c r="AW16" s="77"/>
      <c r="AX16" s="77"/>
      <c r="AY16" t="s">
        <v>233</v>
      </c>
    </row>
    <row r="17" spans="1:50" x14ac:dyDescent="0.35">
      <c r="A17" s="11">
        <v>14</v>
      </c>
      <c r="B17" s="29" t="s">
        <v>62</v>
      </c>
      <c r="C17" s="30">
        <v>26</v>
      </c>
      <c r="D17" s="30">
        <v>0</v>
      </c>
      <c r="E17" s="86">
        <v>1</v>
      </c>
      <c r="F17" s="102">
        <v>1</v>
      </c>
      <c r="G17" s="28">
        <v>0</v>
      </c>
      <c r="H17" s="86">
        <f t="shared" si="0"/>
        <v>0</v>
      </c>
      <c r="I17" s="86">
        <v>0</v>
      </c>
      <c r="J17" s="24"/>
      <c r="K17" s="164"/>
      <c r="L17" s="74">
        <v>14</v>
      </c>
      <c r="M17" s="74" t="s">
        <v>299</v>
      </c>
      <c r="N17" s="72">
        <v>25</v>
      </c>
      <c r="P17" s="85"/>
      <c r="Q17" s="10"/>
      <c r="R17" s="10"/>
      <c r="S17" s="10"/>
      <c r="U17" s="10"/>
      <c r="V17" s="10"/>
      <c r="W17" s="10"/>
      <c r="X17" s="10"/>
      <c r="Y17" s="10"/>
      <c r="AA17" s="14"/>
      <c r="AB17" s="4"/>
      <c r="AC17" s="4"/>
      <c r="AD17" s="3"/>
      <c r="AE17" s="77"/>
      <c r="AF17" s="77"/>
      <c r="AG17" s="78"/>
      <c r="AH17" s="77">
        <v>36</v>
      </c>
      <c r="AI17" s="77"/>
      <c r="AJ17" s="76"/>
      <c r="AK17" s="77">
        <v>62</v>
      </c>
      <c r="AL17" s="77">
        <v>80</v>
      </c>
      <c r="AM17" s="79"/>
      <c r="AN17" s="80"/>
      <c r="AO17" s="77"/>
      <c r="AP17" s="79"/>
      <c r="AQ17" s="77"/>
      <c r="AR17" s="77"/>
      <c r="AS17" s="79"/>
      <c r="AT17" s="77"/>
      <c r="AU17" s="77"/>
      <c r="AV17" s="79"/>
      <c r="AW17" s="77"/>
      <c r="AX17" s="77"/>
    </row>
    <row r="18" spans="1:50" ht="15" thickBot="1" x14ac:dyDescent="0.4">
      <c r="A18" s="11">
        <v>15</v>
      </c>
      <c r="B18" s="31" t="s">
        <v>63</v>
      </c>
      <c r="C18" s="30">
        <v>25</v>
      </c>
      <c r="D18" s="30">
        <v>0</v>
      </c>
      <c r="E18" s="86">
        <v>1</v>
      </c>
      <c r="F18" s="102">
        <v>1</v>
      </c>
      <c r="G18" s="28">
        <v>0</v>
      </c>
      <c r="H18" s="86">
        <f t="shared" si="0"/>
        <v>0</v>
      </c>
      <c r="I18" s="86">
        <v>0</v>
      </c>
      <c r="J18" s="24"/>
      <c r="K18" s="165"/>
      <c r="L18" s="73">
        <v>15</v>
      </c>
      <c r="M18" s="73" t="s">
        <v>300</v>
      </c>
      <c r="N18" s="72">
        <v>25</v>
      </c>
      <c r="P18" s="85"/>
      <c r="Q18" s="10"/>
      <c r="R18" s="10"/>
      <c r="S18" s="10"/>
      <c r="U18" s="10"/>
      <c r="V18" s="10"/>
      <c r="W18" s="10"/>
      <c r="X18" s="10"/>
      <c r="Y18" s="10"/>
      <c r="AA18" s="14"/>
      <c r="AB18" s="4"/>
      <c r="AC18" s="4"/>
      <c r="AD18" s="3"/>
      <c r="AE18" s="81"/>
      <c r="AF18" s="77"/>
      <c r="AG18" s="78"/>
      <c r="AH18" s="80"/>
      <c r="AI18" s="77"/>
      <c r="AJ18" s="76"/>
      <c r="AK18" s="77">
        <v>63</v>
      </c>
      <c r="AL18" s="77">
        <v>81</v>
      </c>
      <c r="AM18" s="79"/>
      <c r="AN18" s="80"/>
      <c r="AO18" s="77"/>
      <c r="AP18" s="79"/>
      <c r="AQ18" s="77"/>
      <c r="AR18" s="77"/>
      <c r="AS18" s="79"/>
      <c r="AT18" s="77"/>
      <c r="AU18" s="77"/>
      <c r="AV18" s="79"/>
      <c r="AW18" s="77"/>
      <c r="AX18" s="77"/>
    </row>
    <row r="19" spans="1:50" x14ac:dyDescent="0.35">
      <c r="A19" s="11">
        <v>16</v>
      </c>
      <c r="B19" s="29" t="s">
        <v>64</v>
      </c>
      <c r="C19" s="30">
        <v>24</v>
      </c>
      <c r="D19" s="30">
        <v>0</v>
      </c>
      <c r="E19" s="86">
        <v>1</v>
      </c>
      <c r="F19" s="102">
        <v>1</v>
      </c>
      <c r="G19" s="28">
        <v>0</v>
      </c>
      <c r="H19" s="86">
        <f t="shared" si="0"/>
        <v>0</v>
      </c>
      <c r="I19" s="86">
        <v>0</v>
      </c>
      <c r="J19" s="24"/>
      <c r="P19" s="85"/>
      <c r="Q19" s="10"/>
      <c r="R19" s="10"/>
      <c r="S19" s="10"/>
      <c r="U19" s="10"/>
      <c r="V19" s="10"/>
      <c r="W19" s="10"/>
      <c r="X19" s="10"/>
      <c r="Y19" s="10"/>
      <c r="AA19" s="14"/>
      <c r="AB19" s="4"/>
      <c r="AC19" s="4"/>
      <c r="AD19" s="3"/>
      <c r="AE19" s="81"/>
      <c r="AF19" s="77"/>
      <c r="AG19" s="78"/>
      <c r="AH19" s="81"/>
      <c r="AI19" s="77"/>
      <c r="AJ19" s="76"/>
      <c r="AK19" s="77">
        <v>64</v>
      </c>
      <c r="AL19" s="77"/>
      <c r="AM19" s="79"/>
      <c r="AN19" s="81"/>
      <c r="AO19" s="77"/>
      <c r="AP19" s="79"/>
      <c r="AQ19" s="81"/>
      <c r="AR19" s="77"/>
      <c r="AS19" s="79"/>
      <c r="AT19" s="77"/>
      <c r="AU19" s="77"/>
      <c r="AV19" s="79"/>
      <c r="AW19" s="81"/>
      <c r="AX19" s="77"/>
    </row>
    <row r="20" spans="1:50" x14ac:dyDescent="0.35">
      <c r="A20" s="11">
        <v>17</v>
      </c>
      <c r="B20" s="31" t="s">
        <v>65</v>
      </c>
      <c r="C20" s="30">
        <v>29</v>
      </c>
      <c r="D20" s="30">
        <v>0</v>
      </c>
      <c r="E20" s="86">
        <v>1</v>
      </c>
      <c r="F20" s="102">
        <v>1</v>
      </c>
      <c r="G20" s="28">
        <v>0</v>
      </c>
      <c r="H20" s="86">
        <f t="shared" si="0"/>
        <v>0</v>
      </c>
      <c r="I20" s="86">
        <v>0</v>
      </c>
      <c r="J20" s="24"/>
      <c r="P20" s="85"/>
      <c r="Q20" s="10"/>
      <c r="R20" s="10"/>
      <c r="S20" s="10"/>
      <c r="U20" s="10"/>
      <c r="V20" s="10"/>
      <c r="W20" s="10"/>
      <c r="X20" s="10"/>
      <c r="Y20" s="10"/>
      <c r="AA20" s="14"/>
      <c r="AB20" s="4"/>
      <c r="AC20" s="4"/>
      <c r="AD20" s="3"/>
      <c r="AE20" s="81"/>
      <c r="AF20" s="77"/>
      <c r="AG20" s="78"/>
      <c r="AH20" s="81"/>
      <c r="AI20" s="77"/>
      <c r="AJ20" s="76"/>
      <c r="AK20" s="77">
        <v>65</v>
      </c>
      <c r="AL20" s="77"/>
      <c r="AM20" s="79"/>
      <c r="AN20" s="81"/>
      <c r="AO20" s="77"/>
      <c r="AP20" s="79"/>
      <c r="AQ20" s="81"/>
      <c r="AR20" s="77"/>
      <c r="AS20" s="79"/>
      <c r="AT20" s="77"/>
      <c r="AU20" s="77"/>
      <c r="AV20" s="79"/>
      <c r="AW20" s="81"/>
      <c r="AX20" s="77"/>
    </row>
    <row r="21" spans="1:50" x14ac:dyDescent="0.35">
      <c r="A21" s="11">
        <v>18</v>
      </c>
      <c r="B21" s="31" t="s">
        <v>66</v>
      </c>
      <c r="C21" s="30">
        <v>13</v>
      </c>
      <c r="D21" s="30">
        <v>0</v>
      </c>
      <c r="E21" s="86">
        <v>1</v>
      </c>
      <c r="F21" s="102">
        <v>1</v>
      </c>
      <c r="G21" s="28">
        <v>0</v>
      </c>
      <c r="H21" s="86">
        <f t="shared" si="0"/>
        <v>0</v>
      </c>
      <c r="I21" s="86">
        <v>0</v>
      </c>
      <c r="J21" s="24"/>
      <c r="K21" s="18" t="s">
        <v>44</v>
      </c>
      <c r="L21" s="20" t="s">
        <v>45</v>
      </c>
      <c r="P21" s="85"/>
      <c r="Q21" s="10"/>
      <c r="R21" s="10"/>
      <c r="S21" s="10"/>
      <c r="U21" s="10"/>
      <c r="V21" s="10"/>
      <c r="W21" s="10"/>
      <c r="X21" s="10"/>
      <c r="Y21" s="10"/>
      <c r="AA21" s="14"/>
      <c r="AB21" s="4"/>
      <c r="AC21" s="4"/>
      <c r="AD21" s="3"/>
      <c r="AE21" s="81"/>
      <c r="AF21" s="77"/>
      <c r="AG21" s="78"/>
      <c r="AH21" s="81"/>
      <c r="AI21" s="77"/>
      <c r="AJ21" s="76"/>
      <c r="AK21" s="77">
        <v>66</v>
      </c>
      <c r="AL21" s="77"/>
      <c r="AM21" s="79"/>
      <c r="AN21" s="81"/>
      <c r="AO21" s="77"/>
      <c r="AP21" s="79"/>
      <c r="AQ21" s="81"/>
      <c r="AR21" s="77"/>
      <c r="AS21" s="79"/>
      <c r="AT21" s="77"/>
      <c r="AU21" s="77"/>
      <c r="AV21" s="79"/>
      <c r="AW21" s="81"/>
      <c r="AX21" s="77"/>
    </row>
    <row r="22" spans="1:50" x14ac:dyDescent="0.35">
      <c r="A22" s="11">
        <v>19</v>
      </c>
      <c r="B22" s="29" t="s">
        <v>67</v>
      </c>
      <c r="C22" s="30">
        <v>19</v>
      </c>
      <c r="D22" s="30">
        <v>0</v>
      </c>
      <c r="E22" s="86">
        <v>1</v>
      </c>
      <c r="F22" s="102">
        <v>1</v>
      </c>
      <c r="G22" s="28">
        <v>0</v>
      </c>
      <c r="H22" s="86">
        <f t="shared" si="0"/>
        <v>0</v>
      </c>
      <c r="I22" s="86">
        <v>0</v>
      </c>
      <c r="J22" s="24"/>
      <c r="K22" s="75">
        <v>1</v>
      </c>
      <c r="L22" s="75">
        <v>1</v>
      </c>
      <c r="P22" s="85"/>
      <c r="Q22" s="10"/>
      <c r="R22" s="10"/>
      <c r="S22" s="10"/>
      <c r="U22" s="10"/>
      <c r="V22" s="10"/>
      <c r="W22" s="10"/>
      <c r="X22" s="10"/>
      <c r="Y22" s="10"/>
      <c r="AA22" s="14"/>
      <c r="AB22" s="4"/>
      <c r="AC22" s="4"/>
      <c r="AD22" s="3"/>
      <c r="AE22" s="81"/>
      <c r="AF22" s="77"/>
      <c r="AG22" s="78"/>
      <c r="AH22" s="81"/>
      <c r="AI22" s="77"/>
      <c r="AJ22" s="76"/>
      <c r="AK22" s="77"/>
      <c r="AL22" s="77"/>
      <c r="AM22" s="79"/>
      <c r="AN22" s="81"/>
      <c r="AO22" s="77"/>
      <c r="AP22" s="79"/>
      <c r="AQ22" s="81"/>
      <c r="AR22" s="77"/>
      <c r="AS22" s="79"/>
      <c r="AT22" s="77"/>
      <c r="AU22" s="77"/>
      <c r="AV22" s="79"/>
      <c r="AW22" s="81"/>
      <c r="AX22" s="77"/>
    </row>
    <row r="23" spans="1:50" x14ac:dyDescent="0.35">
      <c r="A23" s="11">
        <v>20</v>
      </c>
      <c r="B23" s="29" t="s">
        <v>68</v>
      </c>
      <c r="C23" s="30">
        <v>30</v>
      </c>
      <c r="D23" s="30">
        <v>0</v>
      </c>
      <c r="E23" s="86">
        <v>1</v>
      </c>
      <c r="F23" s="102">
        <v>1</v>
      </c>
      <c r="G23" s="28">
        <v>0</v>
      </c>
      <c r="H23" s="86">
        <f t="shared" si="0"/>
        <v>0</v>
      </c>
      <c r="I23" s="86">
        <v>0</v>
      </c>
      <c r="J23" s="24"/>
      <c r="K23" s="75">
        <v>2</v>
      </c>
      <c r="L23" s="75">
        <v>2</v>
      </c>
      <c r="P23" s="85"/>
      <c r="Q23" s="10"/>
      <c r="R23" s="10"/>
      <c r="S23" s="10"/>
      <c r="U23" s="10"/>
      <c r="V23" s="10"/>
      <c r="W23" s="10"/>
      <c r="X23" s="10"/>
      <c r="Y23" s="10"/>
      <c r="AA23" s="14"/>
      <c r="AB23" s="4"/>
      <c r="AC23" s="4"/>
      <c r="AD23" s="3"/>
      <c r="AE23" s="81"/>
      <c r="AF23" s="77"/>
      <c r="AG23" s="78"/>
      <c r="AH23" s="81"/>
      <c r="AI23" s="77"/>
      <c r="AJ23" s="76"/>
      <c r="AK23" s="81"/>
      <c r="AL23" s="77"/>
      <c r="AM23" s="79"/>
      <c r="AN23" s="81"/>
      <c r="AO23" s="77"/>
      <c r="AP23" s="79"/>
      <c r="AQ23" s="81"/>
      <c r="AR23" s="77"/>
      <c r="AS23" s="79"/>
      <c r="AT23" s="77"/>
      <c r="AU23" s="77"/>
      <c r="AV23" s="79"/>
      <c r="AW23" s="81"/>
      <c r="AX23" s="77"/>
    </row>
    <row r="24" spans="1:50" ht="17.25" customHeight="1" x14ac:dyDescent="0.35">
      <c r="A24" s="11">
        <v>21</v>
      </c>
      <c r="B24" s="31" t="s">
        <v>69</v>
      </c>
      <c r="C24" s="30">
        <v>12</v>
      </c>
      <c r="D24" s="30">
        <v>0</v>
      </c>
      <c r="E24" s="86">
        <v>1</v>
      </c>
      <c r="F24" s="102">
        <v>1</v>
      </c>
      <c r="G24" s="28">
        <v>0</v>
      </c>
      <c r="H24" s="86">
        <f t="shared" si="0"/>
        <v>0</v>
      </c>
      <c r="I24" s="86">
        <v>0</v>
      </c>
      <c r="J24" s="24"/>
      <c r="K24" s="75">
        <v>3</v>
      </c>
      <c r="L24" s="75">
        <v>3</v>
      </c>
      <c r="P24" s="85"/>
      <c r="Q24" s="10"/>
      <c r="R24" s="10"/>
      <c r="S24" s="10"/>
      <c r="U24" s="10"/>
      <c r="V24" s="10"/>
      <c r="W24" s="10"/>
      <c r="X24" s="10"/>
      <c r="Y24" s="10"/>
      <c r="AA24" s="14"/>
      <c r="AB24" s="4"/>
      <c r="AC24" s="4"/>
      <c r="AD24" s="3"/>
      <c r="AE24" s="81"/>
      <c r="AF24" s="77"/>
      <c r="AG24" s="78"/>
      <c r="AH24" s="81"/>
      <c r="AI24" s="77"/>
      <c r="AJ24" s="76"/>
      <c r="AK24" s="81"/>
      <c r="AL24" s="77"/>
      <c r="AM24" s="79"/>
      <c r="AN24" s="81"/>
      <c r="AO24" s="77"/>
      <c r="AP24" s="79"/>
      <c r="AQ24" s="81"/>
      <c r="AR24" s="77"/>
      <c r="AS24" s="79"/>
      <c r="AT24" s="77"/>
      <c r="AU24" s="77"/>
      <c r="AV24" s="79"/>
      <c r="AW24" s="81"/>
      <c r="AX24" s="77"/>
    </row>
    <row r="25" spans="1:50" x14ac:dyDescent="0.35">
      <c r="A25" s="11">
        <v>22</v>
      </c>
      <c r="B25" s="34" t="s">
        <v>70</v>
      </c>
      <c r="C25" s="30">
        <v>19</v>
      </c>
      <c r="D25" s="30">
        <v>0</v>
      </c>
      <c r="E25" s="86">
        <v>1</v>
      </c>
      <c r="F25" s="102">
        <v>1</v>
      </c>
      <c r="G25" s="28">
        <v>0</v>
      </c>
      <c r="H25" s="86">
        <f t="shared" si="0"/>
        <v>0</v>
      </c>
      <c r="I25" s="86">
        <v>0</v>
      </c>
      <c r="J25" s="24"/>
      <c r="K25" s="75">
        <v>4</v>
      </c>
      <c r="L25" s="75">
        <v>4</v>
      </c>
      <c r="P25" s="85"/>
      <c r="Q25" s="10"/>
      <c r="R25" s="10"/>
      <c r="S25" s="10"/>
      <c r="U25" s="10"/>
      <c r="V25" s="10"/>
      <c r="W25" s="10"/>
      <c r="X25" s="10"/>
      <c r="Y25" s="10"/>
      <c r="AA25" s="14"/>
      <c r="AB25" s="4"/>
      <c r="AC25" s="4"/>
      <c r="AD25" s="3"/>
      <c r="AF25" s="3"/>
      <c r="AI25" s="3"/>
      <c r="AL25" s="3"/>
      <c r="AO25" s="3"/>
      <c r="AR25" s="3"/>
      <c r="AT25" s="3"/>
      <c r="AU25" s="3"/>
      <c r="AX25" s="3"/>
    </row>
    <row r="26" spans="1:50" x14ac:dyDescent="0.35">
      <c r="A26" s="11">
        <v>23</v>
      </c>
      <c r="B26" s="35" t="s">
        <v>71</v>
      </c>
      <c r="C26" s="36">
        <v>76</v>
      </c>
      <c r="D26" s="36">
        <v>1</v>
      </c>
      <c r="E26" s="86">
        <v>1</v>
      </c>
      <c r="F26" s="102">
        <v>1</v>
      </c>
      <c r="G26" s="28">
        <v>0</v>
      </c>
      <c r="H26" s="86">
        <f t="shared" si="0"/>
        <v>1</v>
      </c>
      <c r="I26" s="86">
        <v>0</v>
      </c>
      <c r="J26" s="24"/>
      <c r="K26" s="75">
        <v>5</v>
      </c>
      <c r="L26" s="75">
        <v>5</v>
      </c>
      <c r="P26" s="85"/>
      <c r="Q26" s="10"/>
      <c r="R26" s="10"/>
      <c r="S26" s="10"/>
      <c r="U26" s="10"/>
      <c r="V26" s="10"/>
      <c r="W26" s="10"/>
      <c r="X26" s="10"/>
      <c r="Y26" s="10"/>
      <c r="AA26" s="14"/>
      <c r="AB26" s="4"/>
      <c r="AC26" s="4"/>
      <c r="AD26" s="3"/>
      <c r="AF26" s="3"/>
      <c r="AI26" s="3"/>
      <c r="AL26" s="3"/>
      <c r="AO26" s="3"/>
      <c r="AR26" s="3"/>
      <c r="AT26" s="3"/>
      <c r="AU26" s="3"/>
      <c r="AX26" s="3"/>
    </row>
    <row r="27" spans="1:50" x14ac:dyDescent="0.35">
      <c r="A27" s="11">
        <v>24</v>
      </c>
      <c r="B27" s="37" t="s">
        <v>72</v>
      </c>
      <c r="C27" s="36">
        <v>70</v>
      </c>
      <c r="D27" s="36">
        <v>1</v>
      </c>
      <c r="E27" s="86">
        <v>1</v>
      </c>
      <c r="F27" s="102">
        <v>1</v>
      </c>
      <c r="G27" s="28">
        <v>0</v>
      </c>
      <c r="H27" s="86">
        <f t="shared" si="0"/>
        <v>1</v>
      </c>
      <c r="I27" s="86">
        <v>0</v>
      </c>
      <c r="J27" s="24"/>
      <c r="K27" s="75">
        <v>6</v>
      </c>
      <c r="L27" s="75">
        <v>6</v>
      </c>
      <c r="P27" s="85"/>
      <c r="Q27" s="10"/>
      <c r="R27" s="10"/>
      <c r="S27" s="10"/>
      <c r="U27" s="10"/>
      <c r="V27" s="10"/>
      <c r="W27" s="10"/>
      <c r="X27" s="10"/>
      <c r="Y27" s="10"/>
      <c r="AA27" s="14"/>
      <c r="AB27" s="4"/>
      <c r="AC27" s="4"/>
      <c r="AD27" s="3"/>
      <c r="AF27" s="3"/>
      <c r="AI27" s="3"/>
      <c r="AL27" s="3"/>
      <c r="AO27" s="3"/>
      <c r="AR27" s="3"/>
      <c r="AT27" s="3"/>
      <c r="AU27" s="3"/>
      <c r="AX27" s="3"/>
    </row>
    <row r="28" spans="1:50" x14ac:dyDescent="0.35">
      <c r="A28" s="11">
        <v>25</v>
      </c>
      <c r="B28" s="35" t="s">
        <v>73</v>
      </c>
      <c r="C28" s="36">
        <v>91</v>
      </c>
      <c r="D28" s="36">
        <v>1</v>
      </c>
      <c r="E28" s="86">
        <v>1</v>
      </c>
      <c r="F28" s="102">
        <v>1</v>
      </c>
      <c r="G28" s="28">
        <v>0</v>
      </c>
      <c r="H28" s="86">
        <f t="shared" si="0"/>
        <v>1</v>
      </c>
      <c r="I28" s="86">
        <v>0</v>
      </c>
      <c r="J28" s="24"/>
      <c r="K28" s="75">
        <v>7</v>
      </c>
      <c r="L28" s="75">
        <v>7</v>
      </c>
      <c r="P28" s="85"/>
      <c r="Q28" s="10"/>
      <c r="R28" s="10"/>
      <c r="S28" s="10"/>
      <c r="U28" s="10"/>
      <c r="V28" s="10"/>
      <c r="W28" s="10"/>
      <c r="X28" s="10"/>
      <c r="Y28" s="10"/>
      <c r="AA28" s="14"/>
      <c r="AB28" s="4"/>
      <c r="AC28" s="4"/>
      <c r="AD28" s="3"/>
      <c r="AF28" s="3"/>
      <c r="AI28" s="3"/>
      <c r="AL28" s="3"/>
      <c r="AN28" s="3"/>
      <c r="AO28" s="3"/>
      <c r="AR28" s="3"/>
      <c r="AT28" s="3"/>
      <c r="AU28" s="3"/>
      <c r="AX28" s="3"/>
    </row>
    <row r="29" spans="1:50" x14ac:dyDescent="0.35">
      <c r="A29" s="11">
        <v>26</v>
      </c>
      <c r="B29" s="37" t="s">
        <v>74</v>
      </c>
      <c r="C29" s="36">
        <v>75</v>
      </c>
      <c r="D29" s="36">
        <v>1</v>
      </c>
      <c r="E29" s="86">
        <v>1</v>
      </c>
      <c r="F29" s="102">
        <v>1</v>
      </c>
      <c r="G29" s="28">
        <v>0</v>
      </c>
      <c r="H29" s="86">
        <f t="shared" si="0"/>
        <v>1</v>
      </c>
      <c r="I29" s="86">
        <v>0</v>
      </c>
      <c r="J29" s="24"/>
      <c r="K29" s="75">
        <v>8</v>
      </c>
      <c r="L29" s="75"/>
      <c r="P29" s="85"/>
      <c r="Q29" s="10"/>
      <c r="R29" s="10"/>
      <c r="S29" s="10"/>
      <c r="U29" s="10"/>
      <c r="V29" s="10"/>
      <c r="W29" s="10"/>
      <c r="X29" s="10"/>
      <c r="Y29" s="10"/>
      <c r="AA29" s="14"/>
      <c r="AB29" s="4"/>
      <c r="AC29" s="4"/>
      <c r="AD29" s="3"/>
      <c r="AF29" s="3"/>
      <c r="AI29" s="3"/>
      <c r="AL29" s="3"/>
      <c r="AN29" s="3"/>
      <c r="AO29" s="3"/>
      <c r="AR29" s="3"/>
      <c r="AT29" s="3"/>
      <c r="AU29" s="3"/>
      <c r="AX29" s="3"/>
    </row>
    <row r="30" spans="1:50" x14ac:dyDescent="0.35">
      <c r="A30" s="11">
        <v>27</v>
      </c>
      <c r="B30" s="35" t="s">
        <v>75</v>
      </c>
      <c r="C30" s="36">
        <v>69</v>
      </c>
      <c r="D30" s="36">
        <v>1</v>
      </c>
      <c r="E30" s="86">
        <v>1</v>
      </c>
      <c r="F30" s="102">
        <v>1</v>
      </c>
      <c r="G30" s="28">
        <v>0</v>
      </c>
      <c r="H30" s="86">
        <f t="shared" si="0"/>
        <v>1</v>
      </c>
      <c r="I30" s="86">
        <v>0</v>
      </c>
      <c r="J30" s="24"/>
      <c r="K30" s="75"/>
      <c r="L30" s="75"/>
      <c r="P30" s="85"/>
      <c r="Q30" s="10"/>
      <c r="R30" s="10"/>
      <c r="S30" s="10"/>
      <c r="U30" s="10"/>
      <c r="V30" s="10"/>
      <c r="W30" s="10"/>
      <c r="X30" s="10"/>
      <c r="Y30" s="10"/>
      <c r="Z30" s="3"/>
      <c r="AA30" s="14"/>
      <c r="AB30" s="4"/>
      <c r="AC30" s="4"/>
      <c r="AD30" s="3"/>
      <c r="AF30" s="3"/>
      <c r="AI30" s="3"/>
      <c r="AL30" s="3"/>
      <c r="AN30" s="3"/>
      <c r="AO30" s="3"/>
      <c r="AQ30" s="3"/>
      <c r="AR30" s="3"/>
      <c r="AT30" s="3"/>
      <c r="AU30" s="3"/>
      <c r="AW30" s="3"/>
      <c r="AX30" s="3"/>
    </row>
    <row r="31" spans="1:50" x14ac:dyDescent="0.35">
      <c r="A31" s="11">
        <v>28</v>
      </c>
      <c r="B31" s="37" t="s">
        <v>76</v>
      </c>
      <c r="C31" s="36">
        <v>67</v>
      </c>
      <c r="D31" s="36">
        <v>1</v>
      </c>
      <c r="E31" s="86">
        <v>1</v>
      </c>
      <c r="F31" s="102">
        <v>1</v>
      </c>
      <c r="G31" s="28">
        <v>0</v>
      </c>
      <c r="H31" s="86">
        <f t="shared" si="0"/>
        <v>1</v>
      </c>
      <c r="I31" s="86">
        <v>0</v>
      </c>
      <c r="J31" s="24"/>
      <c r="K31" s="75"/>
      <c r="L31" s="75"/>
      <c r="P31" s="85"/>
      <c r="Q31" s="10"/>
      <c r="R31" s="10"/>
      <c r="S31" s="10"/>
      <c r="U31" s="10"/>
      <c r="V31" s="10"/>
      <c r="W31" s="10"/>
      <c r="X31" s="10"/>
      <c r="Y31" s="10"/>
      <c r="Z31" s="3"/>
      <c r="AA31" s="14"/>
      <c r="AB31" s="4"/>
      <c r="AC31" s="4"/>
      <c r="AD31" s="3"/>
      <c r="AF31" s="3"/>
      <c r="AI31" s="3"/>
      <c r="AL31" s="3"/>
      <c r="AN31" s="3"/>
      <c r="AO31" s="3"/>
      <c r="AQ31" s="3"/>
      <c r="AR31" s="3"/>
      <c r="AT31" s="3"/>
      <c r="AU31" s="3"/>
      <c r="AW31" s="3"/>
      <c r="AX31" s="3"/>
    </row>
    <row r="32" spans="1:50" x14ac:dyDescent="0.35">
      <c r="A32" s="11">
        <v>29</v>
      </c>
      <c r="B32" s="35" t="s">
        <v>77</v>
      </c>
      <c r="C32" s="36">
        <v>39</v>
      </c>
      <c r="D32" s="36">
        <v>0</v>
      </c>
      <c r="E32" s="86">
        <v>1</v>
      </c>
      <c r="F32" s="102">
        <v>1</v>
      </c>
      <c r="G32" s="28">
        <v>0</v>
      </c>
      <c r="H32" s="86">
        <f t="shared" si="0"/>
        <v>0</v>
      </c>
      <c r="I32" s="86">
        <v>0</v>
      </c>
      <c r="J32" s="24"/>
      <c r="K32" s="76"/>
      <c r="L32" s="75"/>
      <c r="P32" s="85"/>
      <c r="Q32" s="10"/>
      <c r="R32" s="10"/>
      <c r="S32" s="10"/>
      <c r="U32" s="10"/>
      <c r="V32" s="10"/>
      <c r="W32" s="10"/>
      <c r="X32" s="10"/>
      <c r="Y32" s="10"/>
      <c r="Z32" s="3"/>
      <c r="AA32" s="14"/>
      <c r="AB32" s="4"/>
      <c r="AC32" s="4"/>
      <c r="AD32" s="3"/>
      <c r="AE32" s="3"/>
      <c r="AF32" s="3"/>
      <c r="AH32" s="3"/>
      <c r="AI32" s="3"/>
      <c r="AL32" s="3"/>
      <c r="AN32" s="3"/>
      <c r="AO32" s="3"/>
      <c r="AQ32" s="3"/>
      <c r="AR32" s="3"/>
      <c r="AT32" s="3"/>
      <c r="AU32" s="3"/>
      <c r="AW32" s="3"/>
      <c r="AX32" s="3"/>
    </row>
    <row r="33" spans="1:50" x14ac:dyDescent="0.35">
      <c r="A33" s="11">
        <v>30</v>
      </c>
      <c r="B33" s="37" t="s">
        <v>78</v>
      </c>
      <c r="C33" s="36">
        <v>32</v>
      </c>
      <c r="D33" s="36">
        <v>0</v>
      </c>
      <c r="E33" s="86">
        <v>1</v>
      </c>
      <c r="F33" s="102">
        <v>1</v>
      </c>
      <c r="G33" s="28">
        <v>0</v>
      </c>
      <c r="H33" s="86">
        <f t="shared" si="0"/>
        <v>0</v>
      </c>
      <c r="I33" s="86">
        <v>0</v>
      </c>
      <c r="J33" s="24"/>
      <c r="K33" s="76"/>
      <c r="L33" s="75"/>
      <c r="P33" s="85"/>
      <c r="Q33" s="10"/>
      <c r="R33" s="10"/>
      <c r="S33" s="10"/>
      <c r="U33" s="10"/>
      <c r="V33" s="10"/>
      <c r="W33" s="10"/>
      <c r="X33" s="10"/>
      <c r="Y33" s="10"/>
      <c r="Z33" s="3"/>
      <c r="AA33" s="14"/>
      <c r="AB33" s="4"/>
      <c r="AC33" s="4"/>
      <c r="AD33" s="3"/>
      <c r="AE33" s="3"/>
      <c r="AF33" s="3"/>
      <c r="AH33" s="3"/>
      <c r="AI33" s="3"/>
      <c r="AL33" s="3"/>
      <c r="AN33" s="3"/>
      <c r="AO33" s="3"/>
      <c r="AQ33" s="3"/>
      <c r="AR33" s="3"/>
      <c r="AT33" s="3"/>
      <c r="AU33" s="3"/>
      <c r="AW33" s="3"/>
      <c r="AX33" s="3"/>
    </row>
    <row r="34" spans="1:50" x14ac:dyDescent="0.35">
      <c r="A34" s="11">
        <v>31</v>
      </c>
      <c r="B34" s="35" t="s">
        <v>79</v>
      </c>
      <c r="C34" s="36">
        <v>68</v>
      </c>
      <c r="D34" s="36">
        <v>1</v>
      </c>
      <c r="E34" s="86">
        <v>1</v>
      </c>
      <c r="F34" s="102">
        <v>1</v>
      </c>
      <c r="G34" s="28">
        <v>0</v>
      </c>
      <c r="H34" s="86">
        <f t="shared" si="0"/>
        <v>1</v>
      </c>
      <c r="I34" s="86" t="s">
        <v>241</v>
      </c>
      <c r="J34" s="24"/>
      <c r="K34" s="76"/>
      <c r="L34" s="75"/>
      <c r="P34" s="85"/>
      <c r="Q34" s="10"/>
      <c r="R34" s="10"/>
      <c r="S34" s="10"/>
      <c r="U34" s="10"/>
      <c r="V34" s="10"/>
      <c r="W34" s="10"/>
      <c r="X34" s="10"/>
      <c r="Y34" s="10"/>
      <c r="Z34" s="3"/>
      <c r="AA34" s="14"/>
      <c r="AB34" s="4"/>
      <c r="AC34" s="4"/>
      <c r="AD34" s="3"/>
      <c r="AE34" s="3"/>
      <c r="AF34" s="3"/>
      <c r="AH34" s="3"/>
      <c r="AI34" s="3"/>
      <c r="AL34" s="3"/>
      <c r="AN34" s="3"/>
      <c r="AO34" s="3"/>
      <c r="AQ34" s="3"/>
      <c r="AR34" s="3"/>
      <c r="AT34" s="3"/>
      <c r="AU34" s="3"/>
      <c r="AW34" s="3"/>
      <c r="AX34" s="3"/>
    </row>
    <row r="35" spans="1:50" x14ac:dyDescent="0.35">
      <c r="A35" s="11">
        <v>32</v>
      </c>
      <c r="B35" s="35" t="s">
        <v>80</v>
      </c>
      <c r="C35" s="36">
        <v>74</v>
      </c>
      <c r="D35" s="36">
        <v>1</v>
      </c>
      <c r="E35" s="86">
        <v>1</v>
      </c>
      <c r="F35" s="102">
        <v>1</v>
      </c>
      <c r="G35" s="28">
        <v>0</v>
      </c>
      <c r="H35" s="86">
        <f t="shared" si="0"/>
        <v>1</v>
      </c>
      <c r="I35" s="86" t="s">
        <v>239</v>
      </c>
      <c r="J35" s="24"/>
      <c r="K35" s="3"/>
      <c r="L35" s="75"/>
      <c r="P35" s="85"/>
      <c r="Q35" s="10"/>
      <c r="R35" s="10"/>
      <c r="S35" s="10"/>
      <c r="U35" s="10"/>
      <c r="V35" s="10"/>
      <c r="W35" s="10"/>
      <c r="X35" s="10"/>
      <c r="Y35" s="10"/>
      <c r="Z35" s="3"/>
      <c r="AA35" s="14"/>
      <c r="AB35" s="4"/>
      <c r="AC35" s="4"/>
      <c r="AD35" s="3"/>
      <c r="AE35" s="3"/>
      <c r="AF35" s="3"/>
      <c r="AK35" s="3"/>
      <c r="AL35" s="3"/>
      <c r="AN35" s="3"/>
      <c r="AO35" s="3"/>
      <c r="AQ35" s="3"/>
      <c r="AR35" s="3"/>
      <c r="AT35" s="3"/>
      <c r="AU35" s="3"/>
      <c r="AW35" s="3"/>
      <c r="AX35" s="3"/>
    </row>
    <row r="36" spans="1:50" x14ac:dyDescent="0.35">
      <c r="A36" s="11">
        <v>33</v>
      </c>
      <c r="B36" s="35" t="s">
        <v>81</v>
      </c>
      <c r="C36" s="36">
        <v>69</v>
      </c>
      <c r="D36" s="36">
        <v>1</v>
      </c>
      <c r="E36" s="86">
        <v>1</v>
      </c>
      <c r="F36" s="102">
        <v>1</v>
      </c>
      <c r="G36" s="28">
        <v>0</v>
      </c>
      <c r="H36" s="86">
        <f t="shared" si="0"/>
        <v>1</v>
      </c>
      <c r="I36" s="86" t="s">
        <v>237</v>
      </c>
      <c r="J36" s="24"/>
      <c r="K36" s="3"/>
      <c r="L36" s="75"/>
      <c r="P36" s="85"/>
      <c r="Q36" s="10"/>
      <c r="R36" s="10"/>
      <c r="S36" s="10"/>
      <c r="U36" s="10"/>
      <c r="V36" s="10"/>
      <c r="W36" s="10"/>
      <c r="X36" s="10"/>
      <c r="Y36" s="10"/>
      <c r="Z36" s="3"/>
      <c r="AA36" s="14"/>
      <c r="AB36" s="4"/>
      <c r="AC36" s="4"/>
      <c r="AD36" s="3"/>
      <c r="AE36" s="5" t="s">
        <v>3</v>
      </c>
      <c r="AF36" s="5" t="s">
        <v>4</v>
      </c>
      <c r="AG36" s="2"/>
      <c r="AH36" s="5" t="s">
        <v>6</v>
      </c>
      <c r="AI36" s="5" t="s">
        <v>8</v>
      </c>
      <c r="AJ36" s="2"/>
      <c r="AK36" s="5" t="s">
        <v>10</v>
      </c>
      <c r="AL36" s="5" t="s">
        <v>12</v>
      </c>
      <c r="AM36" s="2"/>
      <c r="AN36" s="5" t="s">
        <v>14</v>
      </c>
      <c r="AO36" s="5" t="s">
        <v>25</v>
      </c>
      <c r="AP36" s="2"/>
      <c r="AQ36" s="5" t="s">
        <v>26</v>
      </c>
      <c r="AR36" s="5" t="s">
        <v>27</v>
      </c>
      <c r="AS36" s="2"/>
      <c r="AT36" s="5" t="s">
        <v>28</v>
      </c>
      <c r="AU36" s="5" t="s">
        <v>29</v>
      </c>
      <c r="AV36" s="2"/>
      <c r="AW36" s="5" t="s">
        <v>30</v>
      </c>
      <c r="AX36" s="5" t="s">
        <v>31</v>
      </c>
    </row>
    <row r="37" spans="1:50" x14ac:dyDescent="0.35">
      <c r="A37" s="11">
        <v>34</v>
      </c>
      <c r="B37" s="37" t="s">
        <v>82</v>
      </c>
      <c r="C37" s="36">
        <v>36</v>
      </c>
      <c r="D37" s="36">
        <v>0</v>
      </c>
      <c r="E37" s="86">
        <v>1</v>
      </c>
      <c r="F37" s="102">
        <v>1</v>
      </c>
      <c r="G37" s="28">
        <v>0</v>
      </c>
      <c r="H37" s="86">
        <f t="shared" si="0"/>
        <v>0</v>
      </c>
      <c r="I37" s="86">
        <v>0</v>
      </c>
      <c r="J37" s="24"/>
      <c r="K37" s="3"/>
      <c r="L37" s="75"/>
      <c r="P37" s="85"/>
      <c r="Q37" s="10"/>
      <c r="R37" s="10"/>
      <c r="S37" s="10"/>
      <c r="U37" s="10"/>
      <c r="V37" s="10"/>
      <c r="W37" s="10"/>
      <c r="X37" s="10"/>
      <c r="Y37" s="10"/>
      <c r="AA37" s="14"/>
      <c r="AB37" s="4"/>
      <c r="AC37" s="4"/>
      <c r="AE37" s="81">
        <f>VLOOKUP(AE4,$A$4:$C$288,3,0)</f>
        <v>70</v>
      </c>
      <c r="AF37" s="81">
        <f t="shared" ref="AF37:AF47" si="1">VLOOKUP(AF4,$A$4:$C$288,3,0)</f>
        <v>24</v>
      </c>
      <c r="AG37" s="79"/>
      <c r="AH37" s="81">
        <f t="shared" ref="AH37:AI50" si="2">VLOOKUP(AH4,$A$4:$C$288,3,0)</f>
        <v>76</v>
      </c>
      <c r="AI37" s="81">
        <f t="shared" si="2"/>
        <v>48</v>
      </c>
      <c r="AJ37" s="79"/>
      <c r="AK37" s="81">
        <f t="shared" ref="AK37:AL52" si="3">VLOOKUP(AK4,$A$4:$C$288,3,0)</f>
        <v>135</v>
      </c>
      <c r="AL37" s="81">
        <f t="shared" si="3"/>
        <v>94</v>
      </c>
      <c r="AM37" s="79"/>
      <c r="AN37" s="81">
        <f t="shared" ref="AN37:AO47" si="4">VLOOKUP(AN4,$A$4:$C$288,3,0)</f>
        <v>89</v>
      </c>
      <c r="AO37" s="81">
        <f t="shared" si="4"/>
        <v>29</v>
      </c>
      <c r="AP37" s="79"/>
      <c r="AQ37" s="81">
        <f t="shared" ref="AQ37:AR49" si="5">VLOOKUP(AQ4,$A$4:$C$288,3,0)</f>
        <v>94</v>
      </c>
      <c r="AR37" s="81">
        <f t="shared" si="5"/>
        <v>44</v>
      </c>
      <c r="AS37" s="79"/>
      <c r="AT37" s="81">
        <f t="shared" ref="AT37:AU49" si="6">VLOOKUP(AT4,$A$4:$C$288,3,0)</f>
        <v>70</v>
      </c>
      <c r="AU37" s="81">
        <f t="shared" si="6"/>
        <v>67</v>
      </c>
      <c r="AV37" s="79"/>
      <c r="AW37" s="81">
        <f t="shared" ref="AW37:AX47" si="7">VLOOKUP(AW4,$A$4:$C$288,3,0)</f>
        <v>75</v>
      </c>
      <c r="AX37" s="81">
        <f t="shared" si="7"/>
        <v>54</v>
      </c>
    </row>
    <row r="38" spans="1:50" x14ac:dyDescent="0.35">
      <c r="A38" s="11">
        <v>35</v>
      </c>
      <c r="B38" s="35" t="s">
        <v>83</v>
      </c>
      <c r="C38" s="36">
        <v>16</v>
      </c>
      <c r="D38" s="36">
        <v>0</v>
      </c>
      <c r="E38" s="86">
        <v>1</v>
      </c>
      <c r="F38" s="102">
        <v>1</v>
      </c>
      <c r="G38" s="28">
        <v>0</v>
      </c>
      <c r="H38" s="86">
        <f t="shared" si="0"/>
        <v>0</v>
      </c>
      <c r="I38" s="86">
        <v>0</v>
      </c>
      <c r="J38" s="24"/>
      <c r="K38" s="3"/>
      <c r="L38" s="75"/>
      <c r="P38" s="85"/>
      <c r="Q38" s="10"/>
      <c r="R38" s="10"/>
      <c r="S38" s="10"/>
      <c r="U38" s="10"/>
      <c r="V38" s="10"/>
      <c r="W38" s="10"/>
      <c r="X38" s="10"/>
      <c r="Y38" s="10"/>
      <c r="AA38" s="14"/>
      <c r="AB38" s="4"/>
      <c r="AC38" s="4"/>
      <c r="AE38" s="81">
        <f t="shared" ref="AE38:AE47" si="8">VLOOKUP(AE5,$A$4:$C$288,3,0)</f>
        <v>71</v>
      </c>
      <c r="AF38" s="81">
        <f t="shared" si="1"/>
        <v>26</v>
      </c>
      <c r="AG38" s="79"/>
      <c r="AH38" s="81">
        <f t="shared" si="2"/>
        <v>70</v>
      </c>
      <c r="AI38" s="81">
        <f t="shared" si="2"/>
        <v>44</v>
      </c>
      <c r="AJ38" s="79"/>
      <c r="AK38" s="81">
        <f t="shared" si="3"/>
        <v>121</v>
      </c>
      <c r="AL38" s="81">
        <f t="shared" si="3"/>
        <v>57</v>
      </c>
      <c r="AM38" s="79"/>
      <c r="AN38" s="81">
        <f t="shared" si="4"/>
        <v>67</v>
      </c>
      <c r="AO38" s="81">
        <f t="shared" si="4"/>
        <v>39</v>
      </c>
      <c r="AP38" s="79"/>
      <c r="AQ38" s="81">
        <f t="shared" si="5"/>
        <v>87</v>
      </c>
      <c r="AR38" s="81">
        <f t="shared" si="5"/>
        <v>46</v>
      </c>
      <c r="AS38" s="79"/>
      <c r="AT38" s="81">
        <f t="shared" si="6"/>
        <v>72</v>
      </c>
      <c r="AU38" s="81">
        <f t="shared" si="6"/>
        <v>73</v>
      </c>
      <c r="AV38" s="79"/>
      <c r="AW38" s="81">
        <f t="shared" si="7"/>
        <v>77</v>
      </c>
      <c r="AX38" s="81">
        <f t="shared" si="7"/>
        <v>54</v>
      </c>
    </row>
    <row r="39" spans="1:50" x14ac:dyDescent="0.35">
      <c r="A39" s="11">
        <v>36</v>
      </c>
      <c r="B39" s="37" t="s">
        <v>84</v>
      </c>
      <c r="C39" s="36">
        <v>15</v>
      </c>
      <c r="D39" s="36">
        <v>0</v>
      </c>
      <c r="E39" s="86">
        <v>1</v>
      </c>
      <c r="F39" s="102">
        <v>1</v>
      </c>
      <c r="G39" s="28">
        <v>0</v>
      </c>
      <c r="H39" s="86">
        <f t="shared" si="0"/>
        <v>0</v>
      </c>
      <c r="I39" s="86">
        <v>0</v>
      </c>
      <c r="J39" s="24"/>
      <c r="K39" s="3"/>
      <c r="L39" s="75"/>
      <c r="P39" s="85"/>
      <c r="Q39" s="10"/>
      <c r="R39" s="10"/>
      <c r="S39" s="10"/>
      <c r="U39" s="10"/>
      <c r="V39" s="10"/>
      <c r="W39" s="10"/>
      <c r="X39" s="10"/>
      <c r="Y39" s="10"/>
      <c r="AA39" s="14"/>
      <c r="AB39" s="4"/>
      <c r="AC39" s="4"/>
      <c r="AE39" s="81">
        <f t="shared" si="8"/>
        <v>71</v>
      </c>
      <c r="AF39" s="81">
        <f t="shared" si="1"/>
        <v>26</v>
      </c>
      <c r="AG39" s="79"/>
      <c r="AH39" s="81">
        <f t="shared" si="2"/>
        <v>91</v>
      </c>
      <c r="AI39" s="81">
        <f t="shared" si="2"/>
        <v>45</v>
      </c>
      <c r="AJ39" s="79"/>
      <c r="AK39" s="81">
        <f t="shared" si="3"/>
        <v>104</v>
      </c>
      <c r="AL39" s="81">
        <f t="shared" si="3"/>
        <v>37</v>
      </c>
      <c r="AM39" s="79"/>
      <c r="AN39" s="81">
        <f t="shared" si="4"/>
        <v>67</v>
      </c>
      <c r="AO39" s="81">
        <f t="shared" si="4"/>
        <v>30</v>
      </c>
      <c r="AP39" s="79"/>
      <c r="AQ39" s="81">
        <f t="shared" si="5"/>
        <v>76</v>
      </c>
      <c r="AR39" s="81">
        <f t="shared" si="5"/>
        <v>43</v>
      </c>
      <c r="AS39" s="79"/>
      <c r="AT39" s="81">
        <f t="shared" si="6"/>
        <v>67</v>
      </c>
      <c r="AU39" s="81">
        <f t="shared" si="6"/>
        <v>67</v>
      </c>
      <c r="AV39" s="79"/>
      <c r="AW39" s="81">
        <f t="shared" si="7"/>
        <v>74</v>
      </c>
      <c r="AX39" s="81">
        <f t="shared" si="7"/>
        <v>53</v>
      </c>
    </row>
    <row r="40" spans="1:50" x14ac:dyDescent="0.35">
      <c r="A40" s="11">
        <v>37</v>
      </c>
      <c r="B40" s="35" t="s">
        <v>85</v>
      </c>
      <c r="C40" s="36">
        <v>48</v>
      </c>
      <c r="D40" s="36">
        <v>0</v>
      </c>
      <c r="E40" s="86">
        <v>1</v>
      </c>
      <c r="F40" s="102">
        <v>1</v>
      </c>
      <c r="G40" s="28">
        <v>0</v>
      </c>
      <c r="H40" s="86">
        <f t="shared" si="0"/>
        <v>0</v>
      </c>
      <c r="I40" s="86">
        <v>0</v>
      </c>
      <c r="J40" s="24"/>
      <c r="K40" s="3"/>
      <c r="U40" s="10"/>
      <c r="V40" s="10"/>
      <c r="W40" s="10"/>
      <c r="X40" s="10"/>
      <c r="Y40" s="10"/>
      <c r="AA40" s="14"/>
      <c r="AB40" s="4"/>
      <c r="AC40" s="4"/>
      <c r="AE40" s="81">
        <f t="shared" si="8"/>
        <v>75</v>
      </c>
      <c r="AF40" s="81">
        <f t="shared" si="1"/>
        <v>25</v>
      </c>
      <c r="AG40" s="79"/>
      <c r="AH40" s="81">
        <f t="shared" si="2"/>
        <v>75</v>
      </c>
      <c r="AI40" s="81">
        <f t="shared" si="2"/>
        <v>44</v>
      </c>
      <c r="AJ40" s="79"/>
      <c r="AK40" s="81">
        <f t="shared" si="3"/>
        <v>54</v>
      </c>
      <c r="AL40" s="81">
        <f t="shared" si="3"/>
        <v>98</v>
      </c>
      <c r="AM40" s="79"/>
      <c r="AN40" s="81">
        <f t="shared" si="4"/>
        <v>77</v>
      </c>
      <c r="AO40" s="81">
        <f t="shared" si="4"/>
        <v>26</v>
      </c>
      <c r="AP40" s="79"/>
      <c r="AQ40" s="81">
        <f t="shared" si="5"/>
        <v>101</v>
      </c>
      <c r="AR40" s="81">
        <f t="shared" si="5"/>
        <v>46</v>
      </c>
      <c r="AS40" s="79"/>
      <c r="AT40" s="81">
        <f t="shared" si="6"/>
        <v>80</v>
      </c>
      <c r="AU40" s="81">
        <f t="shared" si="6"/>
        <v>31</v>
      </c>
      <c r="AV40" s="79"/>
      <c r="AW40" s="81">
        <f t="shared" si="7"/>
        <v>75</v>
      </c>
      <c r="AX40" s="81">
        <f t="shared" si="7"/>
        <v>53</v>
      </c>
    </row>
    <row r="41" spans="1:50" x14ac:dyDescent="0.35">
      <c r="A41" s="11">
        <v>38</v>
      </c>
      <c r="B41" s="37" t="s">
        <v>86</v>
      </c>
      <c r="C41" s="36">
        <v>44</v>
      </c>
      <c r="D41" s="36">
        <v>0</v>
      </c>
      <c r="E41" s="86">
        <v>1</v>
      </c>
      <c r="F41" s="102">
        <v>1</v>
      </c>
      <c r="G41" s="28">
        <v>0</v>
      </c>
      <c r="H41" s="86">
        <f t="shared" si="0"/>
        <v>0</v>
      </c>
      <c r="I41" s="86">
        <v>0</v>
      </c>
      <c r="J41" s="24"/>
      <c r="K41" s="3"/>
      <c r="U41" s="10"/>
      <c r="V41" s="10"/>
      <c r="W41" s="10"/>
      <c r="X41" s="10"/>
      <c r="Y41" s="10"/>
      <c r="AA41" s="14"/>
      <c r="AB41" s="4"/>
      <c r="AC41" s="4"/>
      <c r="AE41" s="81">
        <f t="shared" si="8"/>
        <v>75</v>
      </c>
      <c r="AF41" s="81">
        <f t="shared" si="1"/>
        <v>24</v>
      </c>
      <c r="AG41" s="79"/>
      <c r="AH41" s="81">
        <f t="shared" si="2"/>
        <v>69</v>
      </c>
      <c r="AI41" s="81">
        <f t="shared" si="2"/>
        <v>46</v>
      </c>
      <c r="AJ41" s="79"/>
      <c r="AK41" s="81">
        <f t="shared" si="3"/>
        <v>60</v>
      </c>
      <c r="AL41" s="81">
        <f t="shared" si="3"/>
        <v>92</v>
      </c>
      <c r="AM41" s="79"/>
      <c r="AN41" s="81">
        <f t="shared" si="4"/>
        <v>113</v>
      </c>
      <c r="AO41" s="81">
        <f t="shared" si="4"/>
        <v>26</v>
      </c>
      <c r="AP41" s="79"/>
      <c r="AQ41" s="81">
        <f t="shared" si="5"/>
        <v>89</v>
      </c>
      <c r="AR41" s="81">
        <f t="shared" si="5"/>
        <v>42</v>
      </c>
      <c r="AS41" s="79"/>
      <c r="AT41" s="81">
        <f t="shared" si="6"/>
        <v>75</v>
      </c>
      <c r="AU41" s="81">
        <f t="shared" si="6"/>
        <v>36</v>
      </c>
      <c r="AV41" s="79"/>
      <c r="AW41" s="81">
        <f t="shared" si="7"/>
        <v>66</v>
      </c>
      <c r="AX41" s="81">
        <f t="shared" si="7"/>
        <v>54</v>
      </c>
    </row>
    <row r="42" spans="1:50" x14ac:dyDescent="0.35">
      <c r="A42" s="11">
        <v>39</v>
      </c>
      <c r="B42" s="35" t="s">
        <v>87</v>
      </c>
      <c r="C42" s="36">
        <v>45</v>
      </c>
      <c r="D42" s="36">
        <v>0</v>
      </c>
      <c r="E42" s="86">
        <v>1</v>
      </c>
      <c r="F42" s="102">
        <v>1</v>
      </c>
      <c r="G42" s="28">
        <v>0</v>
      </c>
      <c r="H42" s="86">
        <f t="shared" si="0"/>
        <v>0</v>
      </c>
      <c r="I42" s="86">
        <v>0</v>
      </c>
      <c r="J42" s="24"/>
      <c r="K42" s="3"/>
      <c r="U42" s="10"/>
      <c r="V42" s="10"/>
      <c r="W42" s="10"/>
      <c r="X42" s="10"/>
      <c r="Y42" s="10"/>
      <c r="AA42" s="14"/>
      <c r="AB42" s="4"/>
      <c r="AC42" s="4"/>
      <c r="AE42" s="81">
        <f t="shared" si="8"/>
        <v>88</v>
      </c>
      <c r="AF42" s="81">
        <f t="shared" si="1"/>
        <v>29</v>
      </c>
      <c r="AG42" s="79"/>
      <c r="AH42" s="81">
        <f t="shared" si="2"/>
        <v>67</v>
      </c>
      <c r="AI42" s="81">
        <f t="shared" si="2"/>
        <v>20</v>
      </c>
      <c r="AJ42" s="79"/>
      <c r="AK42" s="81">
        <f t="shared" si="3"/>
        <v>67</v>
      </c>
      <c r="AL42" s="81">
        <f t="shared" si="3"/>
        <v>68</v>
      </c>
      <c r="AM42" s="79"/>
      <c r="AN42" s="81">
        <f t="shared" si="4"/>
        <v>35</v>
      </c>
      <c r="AO42" s="81">
        <f t="shared" si="4"/>
        <v>41</v>
      </c>
      <c r="AP42" s="79"/>
      <c r="AQ42" s="81">
        <f t="shared" si="5"/>
        <v>92</v>
      </c>
      <c r="AR42" s="81">
        <f t="shared" si="5"/>
        <v>44</v>
      </c>
      <c r="AS42" s="79"/>
      <c r="AT42" s="81">
        <f t="shared" si="6"/>
        <v>71</v>
      </c>
      <c r="AU42" s="81">
        <f t="shared" si="6"/>
        <v>3</v>
      </c>
      <c r="AV42" s="79"/>
      <c r="AW42" s="81">
        <f t="shared" si="7"/>
        <v>66</v>
      </c>
      <c r="AX42" s="81">
        <f t="shared" si="7"/>
        <v>54</v>
      </c>
    </row>
    <row r="43" spans="1:50" x14ac:dyDescent="0.35">
      <c r="A43" s="11">
        <v>40</v>
      </c>
      <c r="B43" s="37" t="s">
        <v>88</v>
      </c>
      <c r="C43" s="36">
        <v>44</v>
      </c>
      <c r="D43" s="36">
        <v>0</v>
      </c>
      <c r="E43" s="86">
        <v>1</v>
      </c>
      <c r="F43" s="102">
        <v>1</v>
      </c>
      <c r="G43" s="28">
        <v>0</v>
      </c>
      <c r="H43" s="86">
        <f t="shared" si="0"/>
        <v>0</v>
      </c>
      <c r="I43" s="86">
        <v>0</v>
      </c>
      <c r="J43" s="24"/>
      <c r="K43" s="3"/>
      <c r="U43" s="10"/>
      <c r="V43" s="10"/>
      <c r="W43" s="10"/>
      <c r="X43" s="10"/>
      <c r="Y43" s="10"/>
      <c r="AA43" s="14"/>
      <c r="AB43" s="4"/>
      <c r="AC43" s="4"/>
      <c r="AE43" s="81">
        <f t="shared" si="8"/>
        <v>71</v>
      </c>
      <c r="AF43" s="81">
        <f t="shared" si="1"/>
        <v>13</v>
      </c>
      <c r="AG43" s="79"/>
      <c r="AH43" s="81">
        <f t="shared" si="2"/>
        <v>39</v>
      </c>
      <c r="AI43" s="81">
        <f t="shared" si="2"/>
        <v>17</v>
      </c>
      <c r="AJ43" s="79"/>
      <c r="AK43" s="81">
        <f t="shared" si="3"/>
        <v>60</v>
      </c>
      <c r="AL43" s="81">
        <f t="shared" si="3"/>
        <v>93</v>
      </c>
      <c r="AM43" s="79"/>
      <c r="AN43" s="81">
        <f t="shared" si="4"/>
        <v>49</v>
      </c>
      <c r="AO43" s="81">
        <f t="shared" si="4"/>
        <v>28</v>
      </c>
      <c r="AP43" s="79"/>
      <c r="AQ43" s="81">
        <f t="shared" si="5"/>
        <v>97</v>
      </c>
      <c r="AR43" s="81">
        <f t="shared" si="5"/>
        <v>44</v>
      </c>
      <c r="AS43" s="79"/>
      <c r="AT43" s="81">
        <f t="shared" si="6"/>
        <v>71</v>
      </c>
      <c r="AU43" s="81">
        <f t="shared" si="6"/>
        <v>63</v>
      </c>
      <c r="AV43" s="79"/>
      <c r="AW43" s="81">
        <f t="shared" si="7"/>
        <v>70</v>
      </c>
      <c r="AX43" s="81">
        <f t="shared" si="7"/>
        <v>30</v>
      </c>
    </row>
    <row r="44" spans="1:50" x14ac:dyDescent="0.35">
      <c r="A44" s="11">
        <v>41</v>
      </c>
      <c r="B44" s="35" t="s">
        <v>89</v>
      </c>
      <c r="C44" s="36">
        <v>46</v>
      </c>
      <c r="D44" s="36">
        <v>0</v>
      </c>
      <c r="E44" s="86">
        <v>1</v>
      </c>
      <c r="F44" s="102">
        <v>1</v>
      </c>
      <c r="G44" s="28">
        <v>0</v>
      </c>
      <c r="H44" s="86">
        <f t="shared" si="0"/>
        <v>0</v>
      </c>
      <c r="I44" s="86">
        <v>0</v>
      </c>
      <c r="J44" s="24"/>
      <c r="K44" s="3"/>
      <c r="U44" s="10"/>
      <c r="V44" s="10"/>
      <c r="W44" s="10"/>
      <c r="X44" s="10"/>
      <c r="Y44" s="10"/>
      <c r="AA44" s="14"/>
      <c r="AB44" s="4"/>
      <c r="AC44" s="4"/>
      <c r="AE44" s="81">
        <f t="shared" si="8"/>
        <v>23</v>
      </c>
      <c r="AF44" s="81">
        <f t="shared" si="1"/>
        <v>19</v>
      </c>
      <c r="AG44" s="79"/>
      <c r="AH44" s="81">
        <f t="shared" si="2"/>
        <v>32</v>
      </c>
      <c r="AI44" s="81">
        <f t="shared" si="2"/>
        <v>28</v>
      </c>
      <c r="AJ44" s="79"/>
      <c r="AK44" s="81">
        <f t="shared" si="3"/>
        <v>127</v>
      </c>
      <c r="AL44" s="81">
        <f t="shared" si="3"/>
        <v>61</v>
      </c>
      <c r="AM44" s="79"/>
      <c r="AN44" s="81">
        <f t="shared" si="4"/>
        <v>75</v>
      </c>
      <c r="AO44" s="81">
        <f t="shared" si="4"/>
        <v>33</v>
      </c>
      <c r="AP44" s="79"/>
      <c r="AQ44" s="81">
        <f t="shared" si="5"/>
        <v>50</v>
      </c>
      <c r="AR44" s="81">
        <f t="shared" si="5"/>
        <v>18</v>
      </c>
      <c r="AS44" s="79"/>
      <c r="AT44" s="81">
        <f t="shared" si="6"/>
        <v>50</v>
      </c>
      <c r="AU44" s="81">
        <f t="shared" si="6"/>
        <v>70</v>
      </c>
      <c r="AV44" s="79"/>
      <c r="AW44" s="81">
        <f t="shared" si="7"/>
        <v>38</v>
      </c>
      <c r="AX44" s="81">
        <f t="shared" si="7"/>
        <v>18</v>
      </c>
    </row>
    <row r="45" spans="1:50" x14ac:dyDescent="0.35">
      <c r="A45" s="11">
        <v>42</v>
      </c>
      <c r="B45" s="35" t="s">
        <v>90</v>
      </c>
      <c r="C45" s="36">
        <v>20</v>
      </c>
      <c r="D45" s="36">
        <v>0</v>
      </c>
      <c r="E45" s="86">
        <v>1</v>
      </c>
      <c r="F45" s="102">
        <v>1</v>
      </c>
      <c r="G45" s="28">
        <v>0</v>
      </c>
      <c r="H45" s="86">
        <f t="shared" si="0"/>
        <v>0</v>
      </c>
      <c r="I45" s="86">
        <v>0</v>
      </c>
      <c r="J45" s="24"/>
      <c r="K45" s="3"/>
      <c r="U45" s="10"/>
      <c r="V45" s="10"/>
      <c r="W45" s="10"/>
      <c r="X45" s="10"/>
      <c r="Y45" s="10"/>
      <c r="AA45" s="14"/>
      <c r="AB45" s="4"/>
      <c r="AC45" s="4"/>
      <c r="AE45" s="81">
        <f t="shared" si="8"/>
        <v>50</v>
      </c>
      <c r="AF45" s="81">
        <f t="shared" si="1"/>
        <v>30</v>
      </c>
      <c r="AG45" s="79"/>
      <c r="AH45" s="81">
        <f t="shared" si="2"/>
        <v>68</v>
      </c>
      <c r="AI45" s="81">
        <f t="shared" si="2"/>
        <v>20</v>
      </c>
      <c r="AJ45" s="79"/>
      <c r="AK45" s="81">
        <f t="shared" si="3"/>
        <v>175</v>
      </c>
      <c r="AL45" s="81">
        <f t="shared" si="3"/>
        <v>66</v>
      </c>
      <c r="AM45" s="79"/>
      <c r="AN45" s="81">
        <f t="shared" si="4"/>
        <v>98</v>
      </c>
      <c r="AO45" s="81">
        <f t="shared" si="4"/>
        <v>31</v>
      </c>
      <c r="AP45" s="79"/>
      <c r="AQ45" s="81">
        <f t="shared" si="5"/>
        <v>36</v>
      </c>
      <c r="AR45" s="81">
        <f t="shared" si="5"/>
        <v>35</v>
      </c>
      <c r="AS45" s="79"/>
      <c r="AT45" s="81">
        <f t="shared" si="6"/>
        <v>40</v>
      </c>
      <c r="AU45" s="81">
        <f t="shared" si="6"/>
        <v>36</v>
      </c>
      <c r="AV45" s="79"/>
      <c r="AW45" s="81">
        <f t="shared" si="7"/>
        <v>37</v>
      </c>
      <c r="AX45" s="81">
        <f t="shared" si="7"/>
        <v>32</v>
      </c>
    </row>
    <row r="46" spans="1:50" x14ac:dyDescent="0.35">
      <c r="A46" s="11">
        <v>43</v>
      </c>
      <c r="B46" s="37" t="s">
        <v>91</v>
      </c>
      <c r="C46" s="36">
        <v>17</v>
      </c>
      <c r="D46" s="36">
        <v>0</v>
      </c>
      <c r="E46" s="86">
        <v>1</v>
      </c>
      <c r="F46" s="102">
        <v>1</v>
      </c>
      <c r="G46" s="28">
        <v>0</v>
      </c>
      <c r="H46" s="86">
        <f t="shared" si="0"/>
        <v>0</v>
      </c>
      <c r="I46" s="86">
        <v>0</v>
      </c>
      <c r="J46" s="24"/>
      <c r="K46" s="3"/>
      <c r="U46" s="10"/>
      <c r="V46" s="10"/>
      <c r="W46" s="10"/>
      <c r="X46" s="10"/>
      <c r="Y46" s="10"/>
      <c r="AA46" s="14"/>
      <c r="AB46" s="4"/>
      <c r="AC46" s="4"/>
      <c r="AE46" s="81">
        <f t="shared" si="8"/>
        <v>74</v>
      </c>
      <c r="AF46" s="81">
        <f t="shared" si="1"/>
        <v>12</v>
      </c>
      <c r="AG46" s="79"/>
      <c r="AH46" s="81">
        <f t="shared" si="2"/>
        <v>74</v>
      </c>
      <c r="AI46" s="81">
        <f t="shared" si="2"/>
        <v>17</v>
      </c>
      <c r="AJ46" s="79"/>
      <c r="AK46" s="81">
        <f t="shared" si="3"/>
        <v>64</v>
      </c>
      <c r="AL46" s="81">
        <f t="shared" si="3"/>
        <v>65</v>
      </c>
      <c r="AM46" s="79"/>
      <c r="AN46" s="81">
        <f t="shared" si="4"/>
        <v>109</v>
      </c>
      <c r="AO46" s="81">
        <f t="shared" si="4"/>
        <v>29</v>
      </c>
      <c r="AP46" s="79"/>
      <c r="AQ46" s="81"/>
      <c r="AR46" s="81">
        <f t="shared" si="5"/>
        <v>56</v>
      </c>
      <c r="AS46" s="79"/>
      <c r="AT46" s="81">
        <f t="shared" si="6"/>
        <v>28</v>
      </c>
      <c r="AU46" s="81">
        <f t="shared" si="6"/>
        <v>27</v>
      </c>
      <c r="AV46" s="79"/>
      <c r="AW46" s="81">
        <f t="shared" si="7"/>
        <v>22</v>
      </c>
      <c r="AX46" s="81">
        <v>30</v>
      </c>
    </row>
    <row r="47" spans="1:50" x14ac:dyDescent="0.35">
      <c r="A47" s="11">
        <v>44</v>
      </c>
      <c r="B47" s="35" t="s">
        <v>92</v>
      </c>
      <c r="C47" s="36">
        <v>28</v>
      </c>
      <c r="D47" s="36">
        <v>0</v>
      </c>
      <c r="E47" s="86">
        <v>1</v>
      </c>
      <c r="F47" s="102">
        <v>1</v>
      </c>
      <c r="G47" s="28">
        <v>0</v>
      </c>
      <c r="H47" s="86">
        <f t="shared" si="0"/>
        <v>0</v>
      </c>
      <c r="I47" s="86">
        <v>0</v>
      </c>
      <c r="J47" s="24"/>
      <c r="K47" s="3"/>
      <c r="U47" s="10"/>
      <c r="V47" s="10"/>
      <c r="W47" s="10"/>
      <c r="X47" s="10"/>
      <c r="Y47" s="10"/>
      <c r="AA47" s="14"/>
      <c r="AB47" s="4"/>
      <c r="AC47" s="4"/>
      <c r="AE47" s="81">
        <f t="shared" si="8"/>
        <v>70</v>
      </c>
      <c r="AF47" s="81">
        <f t="shared" si="1"/>
        <v>19</v>
      </c>
      <c r="AG47" s="79"/>
      <c r="AH47" s="81">
        <f t="shared" si="2"/>
        <v>69</v>
      </c>
      <c r="AI47" s="81">
        <f t="shared" si="2"/>
        <v>20</v>
      </c>
      <c r="AJ47" s="79"/>
      <c r="AK47" s="81">
        <f t="shared" si="3"/>
        <v>56</v>
      </c>
      <c r="AL47" s="81">
        <f t="shared" si="3"/>
        <v>26</v>
      </c>
      <c r="AM47" s="79"/>
      <c r="AN47" s="81"/>
      <c r="AO47" s="81">
        <f t="shared" si="4"/>
        <v>33</v>
      </c>
      <c r="AP47" s="79"/>
      <c r="AQ47" s="81"/>
      <c r="AR47" s="81">
        <f t="shared" si="5"/>
        <v>50</v>
      </c>
      <c r="AS47" s="79"/>
      <c r="AT47" s="81">
        <f t="shared" si="6"/>
        <v>41</v>
      </c>
      <c r="AU47" s="81">
        <f t="shared" si="6"/>
        <v>62</v>
      </c>
      <c r="AV47" s="79"/>
      <c r="AW47" s="81">
        <f t="shared" si="7"/>
        <v>57</v>
      </c>
      <c r="AX47" s="81">
        <v>30</v>
      </c>
    </row>
    <row r="48" spans="1:50" x14ac:dyDescent="0.35">
      <c r="A48" s="11">
        <v>45</v>
      </c>
      <c r="B48" s="37" t="s">
        <v>93</v>
      </c>
      <c r="C48" s="36">
        <v>20</v>
      </c>
      <c r="D48" s="36">
        <v>0</v>
      </c>
      <c r="E48" s="86">
        <v>1</v>
      </c>
      <c r="F48" s="102">
        <v>1</v>
      </c>
      <c r="G48" s="28">
        <v>0</v>
      </c>
      <c r="H48" s="86">
        <f t="shared" si="0"/>
        <v>0</v>
      </c>
      <c r="I48" s="86">
        <v>0</v>
      </c>
      <c r="J48" s="24"/>
      <c r="K48" s="3"/>
      <c r="U48" s="10"/>
      <c r="V48" s="10"/>
      <c r="W48" s="10"/>
      <c r="X48" s="10"/>
      <c r="Y48" s="10"/>
      <c r="AA48" s="14"/>
      <c r="AB48" s="4"/>
      <c r="AC48" s="4"/>
      <c r="AE48" s="81"/>
      <c r="AF48" s="81"/>
      <c r="AG48" s="79"/>
      <c r="AH48" s="81">
        <f t="shared" si="2"/>
        <v>36</v>
      </c>
      <c r="AI48" s="81">
        <f t="shared" si="2"/>
        <v>30</v>
      </c>
      <c r="AJ48" s="79"/>
      <c r="AK48" s="81">
        <f t="shared" si="3"/>
        <v>29</v>
      </c>
      <c r="AL48" s="81">
        <f t="shared" si="3"/>
        <v>27</v>
      </c>
      <c r="AM48" s="79"/>
      <c r="AN48" s="81"/>
      <c r="AO48" s="81"/>
      <c r="AP48" s="79"/>
      <c r="AQ48" s="81"/>
      <c r="AR48" s="81">
        <f t="shared" si="5"/>
        <v>39</v>
      </c>
      <c r="AS48" s="79"/>
      <c r="AT48" s="81">
        <f t="shared" si="6"/>
        <v>32</v>
      </c>
      <c r="AU48" s="81">
        <f t="shared" si="6"/>
        <v>62</v>
      </c>
      <c r="AV48" s="79"/>
      <c r="AW48" s="81"/>
      <c r="AX48" s="81"/>
    </row>
    <row r="49" spans="1:50" x14ac:dyDescent="0.35">
      <c r="A49" s="11">
        <v>46</v>
      </c>
      <c r="B49" s="35" t="s">
        <v>94</v>
      </c>
      <c r="C49" s="36">
        <v>17</v>
      </c>
      <c r="D49" s="36">
        <v>0</v>
      </c>
      <c r="E49" s="86">
        <v>1</v>
      </c>
      <c r="F49" s="102">
        <v>1</v>
      </c>
      <c r="G49" s="28">
        <v>0</v>
      </c>
      <c r="H49" s="86">
        <f t="shared" si="0"/>
        <v>0</v>
      </c>
      <c r="I49" s="86">
        <v>0</v>
      </c>
      <c r="J49" s="24"/>
      <c r="K49" s="3"/>
      <c r="U49" s="10"/>
      <c r="V49" s="10"/>
      <c r="W49" s="10"/>
      <c r="X49" s="10"/>
      <c r="Y49" s="10"/>
      <c r="AA49" s="14"/>
      <c r="AB49" s="4"/>
      <c r="AC49" s="4"/>
      <c r="AE49" s="81"/>
      <c r="AF49" s="81"/>
      <c r="AG49" s="79"/>
      <c r="AH49" s="81">
        <f t="shared" si="2"/>
        <v>16</v>
      </c>
      <c r="AI49" s="81"/>
      <c r="AJ49" s="79"/>
      <c r="AK49" s="81">
        <f t="shared" si="3"/>
        <v>27</v>
      </c>
      <c r="AL49" s="81">
        <f t="shared" si="3"/>
        <v>28</v>
      </c>
      <c r="AM49" s="79"/>
      <c r="AN49" s="81"/>
      <c r="AO49" s="81"/>
      <c r="AP49" s="79"/>
      <c r="AQ49" s="81"/>
      <c r="AR49" s="81">
        <f t="shared" si="5"/>
        <v>15</v>
      </c>
      <c r="AS49" s="79"/>
      <c r="AT49" s="81">
        <f t="shared" si="6"/>
        <v>39</v>
      </c>
      <c r="AU49" s="81"/>
      <c r="AV49" s="79"/>
      <c r="AW49" s="81"/>
      <c r="AX49" s="81"/>
    </row>
    <row r="50" spans="1:50" x14ac:dyDescent="0.35">
      <c r="A50" s="11">
        <v>47</v>
      </c>
      <c r="B50" s="37" t="s">
        <v>95</v>
      </c>
      <c r="C50" s="36">
        <v>20</v>
      </c>
      <c r="D50" s="36">
        <v>0</v>
      </c>
      <c r="E50" s="86">
        <v>1</v>
      </c>
      <c r="F50" s="102">
        <v>1</v>
      </c>
      <c r="G50" s="28">
        <v>0</v>
      </c>
      <c r="H50" s="86">
        <f t="shared" si="0"/>
        <v>0</v>
      </c>
      <c r="I50" s="86">
        <v>0</v>
      </c>
      <c r="J50" s="24"/>
      <c r="K50" s="3"/>
      <c r="U50" s="10"/>
      <c r="V50" s="4"/>
      <c r="W50" s="4"/>
      <c r="X50" s="4"/>
      <c r="Y50" s="84"/>
      <c r="AE50" s="81"/>
      <c r="AF50" s="81"/>
      <c r="AG50" s="79"/>
      <c r="AH50" s="81">
        <f t="shared" si="2"/>
        <v>15</v>
      </c>
      <c r="AI50" s="81"/>
      <c r="AJ50" s="79"/>
      <c r="AK50" s="81">
        <f t="shared" si="3"/>
        <v>28</v>
      </c>
      <c r="AL50" s="81">
        <f t="shared" si="3"/>
        <v>26</v>
      </c>
      <c r="AM50" s="79"/>
      <c r="AN50" s="81"/>
      <c r="AO50" s="81"/>
      <c r="AP50" s="79"/>
      <c r="AQ50" s="81"/>
      <c r="AR50" s="81"/>
      <c r="AS50" s="79"/>
      <c r="AT50" s="81"/>
      <c r="AU50" s="81"/>
      <c r="AV50" s="79"/>
      <c r="AW50" s="81"/>
      <c r="AX50" s="81"/>
    </row>
    <row r="51" spans="1:50" x14ac:dyDescent="0.35">
      <c r="A51" s="11">
        <v>48</v>
      </c>
      <c r="B51" s="35" t="s">
        <v>96</v>
      </c>
      <c r="C51" s="36">
        <v>30</v>
      </c>
      <c r="D51" s="36">
        <v>0</v>
      </c>
      <c r="E51" s="86">
        <v>1</v>
      </c>
      <c r="F51" s="102">
        <v>1</v>
      </c>
      <c r="G51" s="28">
        <v>0</v>
      </c>
      <c r="H51" s="86">
        <f t="shared" si="0"/>
        <v>0</v>
      </c>
      <c r="I51" s="86">
        <v>0</v>
      </c>
      <c r="J51" s="24"/>
      <c r="K51" s="3"/>
      <c r="U51" s="10"/>
      <c r="V51" s="4"/>
      <c r="W51" s="4"/>
      <c r="X51" s="4"/>
      <c r="Y51" s="84"/>
      <c r="AE51" s="81"/>
      <c r="AF51" s="81"/>
      <c r="AG51" s="79"/>
      <c r="AH51" s="81"/>
      <c r="AI51" s="81"/>
      <c r="AJ51" s="79"/>
      <c r="AK51" s="81">
        <f t="shared" si="3"/>
        <v>29</v>
      </c>
      <c r="AL51" s="81">
        <f t="shared" si="3"/>
        <v>26</v>
      </c>
      <c r="AM51" s="79"/>
      <c r="AN51" s="81"/>
      <c r="AO51" s="81"/>
      <c r="AP51" s="79"/>
      <c r="AQ51" s="81"/>
      <c r="AR51" s="81"/>
      <c r="AS51" s="79"/>
      <c r="AT51" s="81"/>
      <c r="AU51" s="81"/>
      <c r="AV51" s="79"/>
      <c r="AW51" s="81"/>
      <c r="AX51" s="81"/>
    </row>
    <row r="52" spans="1:50" x14ac:dyDescent="0.35">
      <c r="A52" s="11">
        <v>49</v>
      </c>
      <c r="B52" s="38" t="s">
        <v>97</v>
      </c>
      <c r="C52" s="39">
        <v>135</v>
      </c>
      <c r="D52" s="39">
        <v>1</v>
      </c>
      <c r="E52" s="86">
        <v>1</v>
      </c>
      <c r="F52" s="102">
        <v>1</v>
      </c>
      <c r="G52" s="28">
        <v>0</v>
      </c>
      <c r="H52" s="86">
        <f t="shared" si="0"/>
        <v>1</v>
      </c>
      <c r="I52" s="86" t="s">
        <v>241</v>
      </c>
      <c r="J52" s="24"/>
      <c r="K52" s="3"/>
      <c r="U52" s="10"/>
      <c r="V52" s="4"/>
      <c r="W52" s="4"/>
      <c r="X52" s="4"/>
      <c r="Y52" s="84"/>
      <c r="AE52" s="81"/>
      <c r="AF52" s="81"/>
      <c r="AG52" s="79"/>
      <c r="AH52" s="81"/>
      <c r="AI52" s="81"/>
      <c r="AJ52" s="79"/>
      <c r="AK52" s="81">
        <f t="shared" si="3"/>
        <v>118</v>
      </c>
      <c r="AL52" s="81"/>
      <c r="AM52" s="79"/>
      <c r="AN52" s="81"/>
      <c r="AO52" s="81"/>
      <c r="AP52" s="79"/>
      <c r="AQ52" s="81"/>
      <c r="AR52" s="81"/>
      <c r="AS52" s="79"/>
      <c r="AT52" s="81"/>
      <c r="AU52" s="81"/>
      <c r="AV52" s="79"/>
      <c r="AW52" s="81"/>
      <c r="AX52" s="81"/>
    </row>
    <row r="53" spans="1:50" x14ac:dyDescent="0.35">
      <c r="A53" s="11">
        <v>50</v>
      </c>
      <c r="B53" s="38" t="s">
        <v>98</v>
      </c>
      <c r="C53" s="39">
        <v>121</v>
      </c>
      <c r="D53" s="39">
        <v>1</v>
      </c>
      <c r="E53" s="86">
        <v>1</v>
      </c>
      <c r="F53" s="102">
        <v>1</v>
      </c>
      <c r="G53" s="28">
        <v>0</v>
      </c>
      <c r="H53" s="86">
        <f t="shared" si="0"/>
        <v>1</v>
      </c>
      <c r="I53" s="86" t="s">
        <v>239</v>
      </c>
      <c r="J53" s="24"/>
      <c r="K53" s="3"/>
      <c r="U53" s="10"/>
      <c r="V53" s="4"/>
      <c r="W53" s="4"/>
      <c r="X53" s="4"/>
      <c r="Y53" s="84"/>
      <c r="AE53" s="81"/>
      <c r="AF53" s="81"/>
      <c r="AG53" s="79"/>
      <c r="AH53" s="81"/>
      <c r="AI53" s="81"/>
      <c r="AJ53" s="79"/>
      <c r="AK53" s="81">
        <f t="shared" ref="AK53:AK54" si="9">VLOOKUP(AK20,$A$4:$C$288,3,0)</f>
        <v>65</v>
      </c>
      <c r="AL53" s="81"/>
      <c r="AM53" s="79"/>
      <c r="AN53" s="81"/>
      <c r="AO53" s="81"/>
      <c r="AP53" s="79"/>
      <c r="AQ53" s="81"/>
      <c r="AR53" s="81"/>
      <c r="AS53" s="79"/>
      <c r="AT53" s="81"/>
      <c r="AU53" s="81"/>
      <c r="AV53" s="79"/>
      <c r="AW53" s="81"/>
      <c r="AX53" s="81"/>
    </row>
    <row r="54" spans="1:50" x14ac:dyDescent="0.35">
      <c r="A54" s="11">
        <v>51</v>
      </c>
      <c r="B54" s="38" t="s">
        <v>99</v>
      </c>
      <c r="C54" s="39">
        <v>104</v>
      </c>
      <c r="D54" s="39">
        <v>1</v>
      </c>
      <c r="E54" s="86">
        <v>1</v>
      </c>
      <c r="F54" s="102">
        <v>1</v>
      </c>
      <c r="G54" s="28">
        <v>0</v>
      </c>
      <c r="H54" s="86">
        <f t="shared" si="0"/>
        <v>1</v>
      </c>
      <c r="I54" s="86" t="s">
        <v>237</v>
      </c>
      <c r="J54" s="24"/>
      <c r="K54" s="3"/>
      <c r="U54" s="10"/>
      <c r="V54" s="4"/>
      <c r="W54" s="4"/>
      <c r="X54" s="4"/>
      <c r="Y54" s="84"/>
      <c r="AE54" s="81"/>
      <c r="AF54" s="81"/>
      <c r="AG54" s="79"/>
      <c r="AH54" s="81"/>
      <c r="AI54" s="81"/>
      <c r="AJ54" s="79"/>
      <c r="AK54" s="81">
        <f t="shared" si="9"/>
        <v>60</v>
      </c>
      <c r="AL54" s="81"/>
      <c r="AM54" s="79"/>
      <c r="AN54" s="81"/>
      <c r="AO54" s="81"/>
      <c r="AP54" s="79"/>
      <c r="AQ54" s="81"/>
      <c r="AR54" s="81"/>
      <c r="AS54" s="79"/>
      <c r="AT54" s="81"/>
      <c r="AU54" s="81"/>
      <c r="AV54" s="79"/>
      <c r="AW54" s="81"/>
      <c r="AX54" s="81"/>
    </row>
    <row r="55" spans="1:50" x14ac:dyDescent="0.35">
      <c r="A55" s="11">
        <v>52</v>
      </c>
      <c r="B55" s="38" t="s">
        <v>100</v>
      </c>
      <c r="C55" s="39">
        <v>54</v>
      </c>
      <c r="D55" s="39">
        <v>0</v>
      </c>
      <c r="E55" s="86">
        <v>1</v>
      </c>
      <c r="F55" s="102">
        <v>1</v>
      </c>
      <c r="G55" s="28">
        <v>0</v>
      </c>
      <c r="H55" s="86">
        <f t="shared" si="0"/>
        <v>0</v>
      </c>
      <c r="I55" s="86">
        <v>0</v>
      </c>
      <c r="J55" s="24"/>
      <c r="K55" s="3"/>
      <c r="U55" s="10"/>
      <c r="V55" s="4"/>
      <c r="W55" s="4"/>
      <c r="X55" s="4"/>
      <c r="Y55" s="84"/>
    </row>
    <row r="56" spans="1:50" x14ac:dyDescent="0.35">
      <c r="A56" s="11">
        <v>53</v>
      </c>
      <c r="B56" s="38" t="s">
        <v>101</v>
      </c>
      <c r="C56" s="39">
        <v>60</v>
      </c>
      <c r="D56" s="39">
        <v>0</v>
      </c>
      <c r="E56" s="86">
        <v>1</v>
      </c>
      <c r="F56" s="102">
        <v>1</v>
      </c>
      <c r="G56" s="28">
        <v>0</v>
      </c>
      <c r="H56" s="86">
        <f t="shared" si="0"/>
        <v>0</v>
      </c>
      <c r="I56" s="86">
        <v>0</v>
      </c>
      <c r="J56" s="24"/>
      <c r="K56" s="3"/>
      <c r="U56" s="10"/>
      <c r="V56" s="4"/>
      <c r="W56" s="4"/>
      <c r="X56" s="4"/>
      <c r="Y56" s="84"/>
    </row>
    <row r="57" spans="1:50" x14ac:dyDescent="0.35">
      <c r="A57" s="11">
        <v>54</v>
      </c>
      <c r="B57" s="38" t="s">
        <v>102</v>
      </c>
      <c r="C57" s="39">
        <v>67</v>
      </c>
      <c r="D57" s="39">
        <v>1</v>
      </c>
      <c r="E57" s="86">
        <v>1</v>
      </c>
      <c r="F57" s="102">
        <v>1</v>
      </c>
      <c r="G57" s="28">
        <v>0</v>
      </c>
      <c r="H57" s="86">
        <f t="shared" si="0"/>
        <v>1</v>
      </c>
      <c r="I57" s="86">
        <v>0</v>
      </c>
      <c r="J57" s="24"/>
      <c r="K57" s="3"/>
      <c r="U57" s="10"/>
      <c r="V57" s="4"/>
      <c r="W57" s="4"/>
      <c r="X57" s="4"/>
      <c r="Y57" s="84"/>
    </row>
    <row r="58" spans="1:50" x14ac:dyDescent="0.35">
      <c r="A58" s="11">
        <v>55</v>
      </c>
      <c r="B58" s="38" t="s">
        <v>103</v>
      </c>
      <c r="C58" s="39">
        <v>60</v>
      </c>
      <c r="D58" s="39">
        <v>0</v>
      </c>
      <c r="E58" s="86">
        <v>1</v>
      </c>
      <c r="F58" s="102">
        <v>1</v>
      </c>
      <c r="G58" s="28">
        <v>0</v>
      </c>
      <c r="H58" s="86">
        <f t="shared" si="0"/>
        <v>0</v>
      </c>
      <c r="I58" s="86">
        <v>0</v>
      </c>
      <c r="J58" s="24"/>
      <c r="K58" s="3"/>
      <c r="U58" s="10"/>
      <c r="V58" s="4"/>
      <c r="W58" s="4"/>
      <c r="X58" s="4"/>
      <c r="Y58" s="84"/>
    </row>
    <row r="59" spans="1:50" x14ac:dyDescent="0.35">
      <c r="A59" s="11">
        <v>56</v>
      </c>
      <c r="B59" s="38" t="s">
        <v>104</v>
      </c>
      <c r="C59" s="39">
        <v>127</v>
      </c>
      <c r="D59" s="39">
        <v>1</v>
      </c>
      <c r="E59" s="86">
        <v>1</v>
      </c>
      <c r="F59" s="102">
        <v>1</v>
      </c>
      <c r="G59" s="28">
        <v>0</v>
      </c>
      <c r="H59" s="86">
        <f t="shared" si="0"/>
        <v>1</v>
      </c>
      <c r="I59" s="86">
        <v>0</v>
      </c>
      <c r="J59" s="24"/>
      <c r="K59" s="3"/>
      <c r="U59" s="10"/>
      <c r="V59" s="4"/>
      <c r="W59" s="4"/>
      <c r="X59" s="4"/>
      <c r="Y59" s="84"/>
    </row>
    <row r="60" spans="1:50" x14ac:dyDescent="0.35">
      <c r="A60" s="11">
        <v>57</v>
      </c>
      <c r="B60" s="38" t="s">
        <v>105</v>
      </c>
      <c r="C60" s="39">
        <v>175</v>
      </c>
      <c r="D60" s="39">
        <v>1</v>
      </c>
      <c r="E60" s="86">
        <v>1</v>
      </c>
      <c r="F60" s="102">
        <v>1</v>
      </c>
      <c r="G60" s="28">
        <v>0</v>
      </c>
      <c r="H60" s="86">
        <f t="shared" si="0"/>
        <v>1</v>
      </c>
      <c r="I60" s="86">
        <v>0</v>
      </c>
      <c r="J60" s="24"/>
      <c r="U60" s="10"/>
      <c r="V60" s="4"/>
      <c r="W60" s="4"/>
      <c r="X60" s="4"/>
      <c r="Y60" s="84"/>
    </row>
    <row r="61" spans="1:50" x14ac:dyDescent="0.35">
      <c r="A61" s="11">
        <v>58</v>
      </c>
      <c r="B61" s="38" t="s">
        <v>106</v>
      </c>
      <c r="C61" s="39">
        <v>64</v>
      </c>
      <c r="D61" s="39">
        <v>0</v>
      </c>
      <c r="E61" s="86">
        <v>1</v>
      </c>
      <c r="F61" s="102">
        <v>1</v>
      </c>
      <c r="G61" s="28">
        <v>0</v>
      </c>
      <c r="H61" s="86">
        <f t="shared" si="0"/>
        <v>0</v>
      </c>
      <c r="I61" s="86">
        <v>0</v>
      </c>
      <c r="J61" s="24"/>
      <c r="U61" s="10"/>
      <c r="V61" s="4"/>
      <c r="W61" s="4"/>
      <c r="X61" s="4"/>
      <c r="Y61" s="84"/>
    </row>
    <row r="62" spans="1:50" x14ac:dyDescent="0.35">
      <c r="A62" s="11">
        <v>59</v>
      </c>
      <c r="B62" s="38" t="s">
        <v>107</v>
      </c>
      <c r="C62" s="39">
        <v>56</v>
      </c>
      <c r="D62" s="39">
        <v>0</v>
      </c>
      <c r="E62" s="86">
        <v>1</v>
      </c>
      <c r="F62" s="102">
        <v>1</v>
      </c>
      <c r="G62" s="28">
        <v>0</v>
      </c>
      <c r="H62" s="86">
        <f t="shared" si="0"/>
        <v>0</v>
      </c>
      <c r="I62" s="86">
        <v>0</v>
      </c>
      <c r="J62" s="24"/>
      <c r="U62" s="10"/>
      <c r="V62" s="4"/>
      <c r="W62" s="4"/>
      <c r="X62" s="4"/>
      <c r="Y62" s="84"/>
    </row>
    <row r="63" spans="1:50" x14ac:dyDescent="0.35">
      <c r="A63" s="11">
        <v>60</v>
      </c>
      <c r="B63" s="38" t="s">
        <v>108</v>
      </c>
      <c r="C63" s="39">
        <v>29</v>
      </c>
      <c r="D63" s="39">
        <v>0</v>
      </c>
      <c r="E63" s="86">
        <v>1</v>
      </c>
      <c r="F63" s="102">
        <v>1</v>
      </c>
      <c r="G63" s="28">
        <v>1</v>
      </c>
      <c r="H63" s="86">
        <f t="shared" si="0"/>
        <v>1</v>
      </c>
      <c r="I63" s="86">
        <v>0</v>
      </c>
      <c r="J63" s="24"/>
      <c r="U63" s="10"/>
      <c r="V63" s="4"/>
      <c r="W63" s="4"/>
      <c r="X63" s="4"/>
      <c r="Y63" s="84"/>
    </row>
    <row r="64" spans="1:50" x14ac:dyDescent="0.35">
      <c r="A64" s="11">
        <v>61</v>
      </c>
      <c r="B64" s="38" t="s">
        <v>109</v>
      </c>
      <c r="C64" s="39">
        <v>27</v>
      </c>
      <c r="D64" s="39">
        <v>0</v>
      </c>
      <c r="E64" s="86">
        <v>1</v>
      </c>
      <c r="F64" s="102">
        <v>1</v>
      </c>
      <c r="G64" s="28">
        <v>1</v>
      </c>
      <c r="H64" s="86">
        <f t="shared" si="0"/>
        <v>1</v>
      </c>
      <c r="I64" s="86">
        <v>0</v>
      </c>
      <c r="J64" s="24"/>
      <c r="U64" s="10"/>
      <c r="V64" s="4"/>
      <c r="W64" s="4"/>
      <c r="X64" s="4"/>
      <c r="Y64" s="84"/>
    </row>
    <row r="65" spans="1:50" x14ac:dyDescent="0.35">
      <c r="A65" s="11">
        <v>62</v>
      </c>
      <c r="B65" s="38" t="s">
        <v>110</v>
      </c>
      <c r="C65" s="39">
        <v>28</v>
      </c>
      <c r="D65" s="39">
        <v>0</v>
      </c>
      <c r="E65" s="86">
        <v>1</v>
      </c>
      <c r="F65" s="102">
        <v>1</v>
      </c>
      <c r="G65" s="28">
        <v>1</v>
      </c>
      <c r="H65" s="86">
        <f t="shared" si="0"/>
        <v>1</v>
      </c>
      <c r="I65" s="86">
        <v>0</v>
      </c>
      <c r="J65" s="24"/>
      <c r="U65" s="10"/>
      <c r="V65" s="4"/>
      <c r="W65" s="4"/>
      <c r="X65" s="4"/>
      <c r="Y65" s="84"/>
    </row>
    <row r="66" spans="1:50" x14ac:dyDescent="0.35">
      <c r="A66" s="11">
        <v>63</v>
      </c>
      <c r="B66" s="38" t="s">
        <v>111</v>
      </c>
      <c r="C66" s="39">
        <v>29</v>
      </c>
      <c r="D66" s="39">
        <v>0</v>
      </c>
      <c r="E66" s="86">
        <v>1</v>
      </c>
      <c r="F66" s="102">
        <v>1</v>
      </c>
      <c r="G66" s="28">
        <v>1</v>
      </c>
      <c r="H66" s="86">
        <f t="shared" si="0"/>
        <v>1</v>
      </c>
      <c r="I66" s="86">
        <v>0</v>
      </c>
      <c r="J66" s="24"/>
      <c r="U66" s="10"/>
      <c r="V66" s="4"/>
      <c r="W66" s="4"/>
      <c r="X66" s="4"/>
      <c r="Y66" s="84"/>
      <c r="AX66" s="3"/>
    </row>
    <row r="67" spans="1:50" x14ac:dyDescent="0.35">
      <c r="A67" s="11">
        <v>64</v>
      </c>
      <c r="B67" s="38" t="s">
        <v>112</v>
      </c>
      <c r="C67" s="39">
        <v>118</v>
      </c>
      <c r="D67" s="39">
        <v>1</v>
      </c>
      <c r="E67" s="86">
        <v>1</v>
      </c>
      <c r="F67" s="102">
        <v>1</v>
      </c>
      <c r="G67" s="28">
        <v>0</v>
      </c>
      <c r="H67" s="86">
        <f t="shared" si="0"/>
        <v>1</v>
      </c>
      <c r="I67" s="86">
        <v>0</v>
      </c>
      <c r="J67" s="24"/>
      <c r="U67" s="10"/>
      <c r="V67" s="4"/>
      <c r="W67" s="4"/>
      <c r="X67" s="4"/>
      <c r="Y67" s="84"/>
      <c r="AX67" s="3"/>
    </row>
    <row r="68" spans="1:50" x14ac:dyDescent="0.35">
      <c r="A68" s="11">
        <v>65</v>
      </c>
      <c r="B68" s="38" t="s">
        <v>113</v>
      </c>
      <c r="C68" s="39">
        <v>65</v>
      </c>
      <c r="D68" s="39">
        <v>0</v>
      </c>
      <c r="E68" s="86">
        <v>1</v>
      </c>
      <c r="F68" s="102">
        <v>1</v>
      </c>
      <c r="G68" s="28">
        <v>0</v>
      </c>
      <c r="H68" s="86">
        <f t="shared" si="0"/>
        <v>0</v>
      </c>
      <c r="I68" s="86">
        <v>0</v>
      </c>
      <c r="J68" s="24"/>
      <c r="U68" s="10"/>
      <c r="V68" s="4"/>
      <c r="W68" s="4"/>
      <c r="X68" s="4"/>
      <c r="Y68" s="84"/>
      <c r="AX68" s="3"/>
    </row>
    <row r="69" spans="1:50" x14ac:dyDescent="0.35">
      <c r="A69" s="11">
        <v>66</v>
      </c>
      <c r="B69" s="38" t="s">
        <v>114</v>
      </c>
      <c r="C69" s="39">
        <v>60</v>
      </c>
      <c r="D69" s="39">
        <v>0</v>
      </c>
      <c r="E69" s="86">
        <v>1</v>
      </c>
      <c r="F69" s="102">
        <v>1</v>
      </c>
      <c r="G69" s="28">
        <v>0</v>
      </c>
      <c r="H69" s="86">
        <f t="shared" ref="H69:H132" si="10">IF(G69=0,IF(C69&lt;67,0,1),IF(C69&lt;26,0,1))</f>
        <v>0</v>
      </c>
      <c r="I69" s="86">
        <v>0</v>
      </c>
      <c r="J69" s="24"/>
      <c r="U69" s="10"/>
      <c r="V69" s="4"/>
      <c r="W69" s="4"/>
      <c r="X69" s="4"/>
      <c r="Y69" s="84"/>
      <c r="AX69" s="3"/>
    </row>
    <row r="70" spans="1:50" x14ac:dyDescent="0.35">
      <c r="A70" s="11">
        <v>67</v>
      </c>
      <c r="B70" s="40" t="s">
        <v>115</v>
      </c>
      <c r="C70" s="41">
        <v>94</v>
      </c>
      <c r="D70" s="41">
        <v>1</v>
      </c>
      <c r="E70" s="86">
        <v>1</v>
      </c>
      <c r="F70" s="102">
        <v>1</v>
      </c>
      <c r="G70" s="28">
        <v>0</v>
      </c>
      <c r="H70" s="86">
        <f t="shared" si="10"/>
        <v>1</v>
      </c>
      <c r="I70" s="86">
        <v>0</v>
      </c>
      <c r="J70" s="24"/>
      <c r="U70" s="10"/>
      <c r="V70" s="4"/>
      <c r="W70" s="4"/>
      <c r="X70" s="4"/>
      <c r="Y70" s="84"/>
      <c r="AX70" s="2"/>
    </row>
    <row r="71" spans="1:50" x14ac:dyDescent="0.35">
      <c r="A71" s="11">
        <v>68</v>
      </c>
      <c r="B71" s="40" t="s">
        <v>116</v>
      </c>
      <c r="C71" s="41">
        <v>57</v>
      </c>
      <c r="D71" s="41">
        <v>0</v>
      </c>
      <c r="E71" s="86">
        <v>1</v>
      </c>
      <c r="F71" s="102">
        <v>1</v>
      </c>
      <c r="G71" s="28">
        <v>0</v>
      </c>
      <c r="H71" s="86">
        <f t="shared" si="10"/>
        <v>0</v>
      </c>
      <c r="I71" s="86">
        <v>0</v>
      </c>
      <c r="J71" s="24"/>
      <c r="U71" s="10"/>
      <c r="V71" s="4"/>
      <c r="W71" s="4"/>
      <c r="X71" s="4"/>
      <c r="Y71" s="84"/>
    </row>
    <row r="72" spans="1:50" x14ac:dyDescent="0.35">
      <c r="A72" s="11">
        <v>69</v>
      </c>
      <c r="B72" s="40" t="s">
        <v>117</v>
      </c>
      <c r="C72" s="41">
        <v>37</v>
      </c>
      <c r="D72" s="41">
        <v>0</v>
      </c>
      <c r="E72" s="86">
        <v>1</v>
      </c>
      <c r="F72" s="102">
        <v>1</v>
      </c>
      <c r="G72" s="28">
        <v>0</v>
      </c>
      <c r="H72" s="86">
        <f t="shared" si="10"/>
        <v>0</v>
      </c>
      <c r="I72" s="86">
        <v>0</v>
      </c>
      <c r="J72" s="24"/>
      <c r="U72" s="10"/>
      <c r="V72" s="4"/>
      <c r="W72" s="4"/>
      <c r="X72" s="4"/>
      <c r="Y72" s="84"/>
    </row>
    <row r="73" spans="1:50" x14ac:dyDescent="0.35">
      <c r="A73" s="11">
        <v>70</v>
      </c>
      <c r="B73" s="40" t="s">
        <v>118</v>
      </c>
      <c r="C73" s="41">
        <v>98</v>
      </c>
      <c r="D73" s="41">
        <v>1</v>
      </c>
      <c r="E73" s="86">
        <v>1</v>
      </c>
      <c r="F73" s="102">
        <v>1</v>
      </c>
      <c r="G73" s="28">
        <v>0</v>
      </c>
      <c r="H73" s="86">
        <f t="shared" si="10"/>
        <v>1</v>
      </c>
      <c r="I73" s="86">
        <v>0</v>
      </c>
      <c r="J73" s="24"/>
      <c r="U73" s="10"/>
      <c r="V73" s="4"/>
      <c r="W73" s="4"/>
      <c r="X73" s="4"/>
      <c r="Y73" s="84"/>
    </row>
    <row r="74" spans="1:50" x14ac:dyDescent="0.35">
      <c r="A74" s="11">
        <v>71</v>
      </c>
      <c r="B74" s="40" t="s">
        <v>119</v>
      </c>
      <c r="C74" s="41">
        <v>92</v>
      </c>
      <c r="D74" s="41">
        <v>1</v>
      </c>
      <c r="E74" s="86">
        <v>1</v>
      </c>
      <c r="F74" s="102">
        <v>1</v>
      </c>
      <c r="G74" s="28">
        <v>0</v>
      </c>
      <c r="H74" s="86">
        <f t="shared" si="10"/>
        <v>1</v>
      </c>
      <c r="I74" s="86">
        <v>0</v>
      </c>
      <c r="J74" s="24"/>
      <c r="U74" s="10"/>
      <c r="V74" s="4"/>
      <c r="W74" s="4"/>
      <c r="X74" s="4"/>
      <c r="Y74" s="84"/>
    </row>
    <row r="75" spans="1:50" x14ac:dyDescent="0.35">
      <c r="A75" s="11">
        <v>72</v>
      </c>
      <c r="B75" s="40" t="s">
        <v>120</v>
      </c>
      <c r="C75" s="41">
        <v>68</v>
      </c>
      <c r="D75" s="41">
        <v>1</v>
      </c>
      <c r="E75" s="86">
        <v>1</v>
      </c>
      <c r="F75" s="102">
        <v>1</v>
      </c>
      <c r="G75" s="28">
        <v>0</v>
      </c>
      <c r="H75" s="86">
        <f t="shared" si="10"/>
        <v>1</v>
      </c>
      <c r="I75" s="86">
        <v>0</v>
      </c>
      <c r="J75" s="24"/>
      <c r="U75" s="10"/>
      <c r="V75" s="4"/>
      <c r="W75" s="4"/>
      <c r="X75" s="4"/>
      <c r="Y75" s="84"/>
    </row>
    <row r="76" spans="1:50" x14ac:dyDescent="0.35">
      <c r="A76" s="11">
        <v>73</v>
      </c>
      <c r="B76" s="40" t="s">
        <v>121</v>
      </c>
      <c r="C76" s="41">
        <v>93</v>
      </c>
      <c r="D76" s="41">
        <v>1</v>
      </c>
      <c r="E76" s="86">
        <v>1</v>
      </c>
      <c r="F76" s="102">
        <v>1</v>
      </c>
      <c r="G76" s="28">
        <v>0</v>
      </c>
      <c r="H76" s="86">
        <f t="shared" si="10"/>
        <v>1</v>
      </c>
      <c r="I76" s="86">
        <v>0</v>
      </c>
      <c r="J76" s="24"/>
      <c r="U76" s="10"/>
      <c r="V76" s="4"/>
      <c r="W76" s="4"/>
      <c r="X76" s="4"/>
      <c r="Y76" s="84"/>
    </row>
    <row r="77" spans="1:50" x14ac:dyDescent="0.35">
      <c r="A77" s="11">
        <v>74</v>
      </c>
      <c r="B77" s="40" t="s">
        <v>122</v>
      </c>
      <c r="C77" s="41">
        <v>61</v>
      </c>
      <c r="D77" s="41">
        <v>0</v>
      </c>
      <c r="E77" s="86">
        <v>1</v>
      </c>
      <c r="F77" s="102">
        <v>1</v>
      </c>
      <c r="G77" s="28">
        <v>0</v>
      </c>
      <c r="H77" s="86">
        <f t="shared" si="10"/>
        <v>0</v>
      </c>
      <c r="I77" s="86">
        <v>0</v>
      </c>
      <c r="J77" s="24"/>
      <c r="U77" s="10"/>
      <c r="V77" s="4"/>
      <c r="W77" s="4"/>
      <c r="X77" s="4"/>
      <c r="Y77" s="84"/>
    </row>
    <row r="78" spans="1:50" x14ac:dyDescent="0.35">
      <c r="A78" s="11">
        <v>75</v>
      </c>
      <c r="B78" s="40" t="s">
        <v>123</v>
      </c>
      <c r="C78" s="41">
        <v>66</v>
      </c>
      <c r="D78" s="41">
        <v>0</v>
      </c>
      <c r="E78" s="86">
        <v>1</v>
      </c>
      <c r="F78" s="102">
        <v>1</v>
      </c>
      <c r="G78" s="28">
        <v>0</v>
      </c>
      <c r="H78" s="86">
        <f t="shared" si="10"/>
        <v>0</v>
      </c>
      <c r="I78" s="86">
        <v>0</v>
      </c>
      <c r="J78" s="24"/>
      <c r="U78" s="10"/>
      <c r="V78" s="4"/>
      <c r="W78" s="4"/>
      <c r="X78" s="4"/>
      <c r="Y78" s="84"/>
    </row>
    <row r="79" spans="1:50" x14ac:dyDescent="0.35">
      <c r="A79" s="11">
        <v>76</v>
      </c>
      <c r="B79" s="40" t="s">
        <v>124</v>
      </c>
      <c r="C79" s="41">
        <v>65</v>
      </c>
      <c r="D79" s="41">
        <v>0</v>
      </c>
      <c r="E79" s="86">
        <v>1</v>
      </c>
      <c r="F79" s="102">
        <v>1</v>
      </c>
      <c r="G79" s="28">
        <v>0</v>
      </c>
      <c r="H79" s="86">
        <f t="shared" si="10"/>
        <v>0</v>
      </c>
      <c r="I79" s="86">
        <v>0</v>
      </c>
      <c r="J79" s="24"/>
      <c r="U79" s="10"/>
      <c r="V79" s="4"/>
      <c r="W79" s="4"/>
      <c r="X79" s="4"/>
      <c r="Y79" s="84"/>
    </row>
    <row r="80" spans="1:50" x14ac:dyDescent="0.35">
      <c r="A80" s="11">
        <v>77</v>
      </c>
      <c r="B80" s="40" t="s">
        <v>125</v>
      </c>
      <c r="C80" s="41">
        <v>26</v>
      </c>
      <c r="D80" s="41">
        <v>0</v>
      </c>
      <c r="E80" s="86">
        <v>1</v>
      </c>
      <c r="F80" s="102">
        <v>1</v>
      </c>
      <c r="G80" s="28">
        <v>0</v>
      </c>
      <c r="H80" s="86">
        <f t="shared" si="10"/>
        <v>0</v>
      </c>
      <c r="I80" s="86">
        <v>0</v>
      </c>
      <c r="J80" s="24"/>
      <c r="U80" s="10"/>
      <c r="V80" s="4"/>
      <c r="W80" s="4"/>
      <c r="X80" s="4"/>
      <c r="Y80" s="84"/>
    </row>
    <row r="81" spans="1:25" x14ac:dyDescent="0.35">
      <c r="A81" s="11">
        <v>78</v>
      </c>
      <c r="B81" s="40" t="s">
        <v>126</v>
      </c>
      <c r="C81" s="41">
        <v>27</v>
      </c>
      <c r="D81" s="41">
        <v>0</v>
      </c>
      <c r="E81" s="86">
        <v>1</v>
      </c>
      <c r="F81" s="102">
        <v>1</v>
      </c>
      <c r="G81" s="28">
        <v>0</v>
      </c>
      <c r="H81" s="86">
        <f t="shared" si="10"/>
        <v>0</v>
      </c>
      <c r="I81" s="86">
        <v>0</v>
      </c>
      <c r="J81" s="24"/>
      <c r="U81" s="10"/>
      <c r="V81" s="4"/>
      <c r="W81" s="4"/>
      <c r="X81" s="4"/>
      <c r="Y81" s="84"/>
    </row>
    <row r="82" spans="1:25" x14ac:dyDescent="0.35">
      <c r="A82" s="11">
        <v>79</v>
      </c>
      <c r="B82" s="40" t="s">
        <v>127</v>
      </c>
      <c r="C82" s="41">
        <v>28</v>
      </c>
      <c r="D82" s="41">
        <v>0</v>
      </c>
      <c r="E82" s="86">
        <v>1</v>
      </c>
      <c r="F82" s="102">
        <v>1</v>
      </c>
      <c r="G82" s="28">
        <v>0</v>
      </c>
      <c r="H82" s="86">
        <f t="shared" si="10"/>
        <v>0</v>
      </c>
      <c r="I82" s="86">
        <v>0</v>
      </c>
      <c r="J82" s="24"/>
      <c r="U82" s="10"/>
      <c r="V82" s="4"/>
      <c r="W82" s="4"/>
      <c r="X82" s="4"/>
      <c r="Y82" s="84"/>
    </row>
    <row r="83" spans="1:25" x14ac:dyDescent="0.35">
      <c r="A83" s="11">
        <v>80</v>
      </c>
      <c r="B83" s="40" t="s">
        <v>128</v>
      </c>
      <c r="C83" s="41">
        <v>26</v>
      </c>
      <c r="D83" s="41">
        <v>0</v>
      </c>
      <c r="E83" s="86">
        <v>1</v>
      </c>
      <c r="F83" s="102">
        <v>1</v>
      </c>
      <c r="G83" s="28">
        <v>0</v>
      </c>
      <c r="H83" s="86">
        <f t="shared" si="10"/>
        <v>0</v>
      </c>
      <c r="I83" s="86">
        <v>0</v>
      </c>
      <c r="J83" s="24"/>
      <c r="U83" s="10"/>
      <c r="V83" s="4"/>
      <c r="W83" s="4"/>
      <c r="X83" s="4"/>
      <c r="Y83" s="84"/>
    </row>
    <row r="84" spans="1:25" x14ac:dyDescent="0.35">
      <c r="A84" s="11">
        <v>81</v>
      </c>
      <c r="B84" s="40" t="s">
        <v>129</v>
      </c>
      <c r="C84" s="41">
        <v>26</v>
      </c>
      <c r="D84" s="41">
        <v>0</v>
      </c>
      <c r="E84" s="86">
        <v>1</v>
      </c>
      <c r="F84" s="102">
        <v>1</v>
      </c>
      <c r="G84" s="28">
        <v>0</v>
      </c>
      <c r="H84" s="86">
        <f t="shared" si="10"/>
        <v>0</v>
      </c>
      <c r="I84" s="86">
        <v>0</v>
      </c>
      <c r="J84" s="24"/>
      <c r="U84" s="10"/>
      <c r="V84" s="4"/>
      <c r="W84" s="4"/>
      <c r="X84" s="4"/>
      <c r="Y84" s="84"/>
    </row>
    <row r="85" spans="1:25" x14ac:dyDescent="0.35">
      <c r="A85" s="11">
        <v>82</v>
      </c>
      <c r="B85" s="42" t="s">
        <v>130</v>
      </c>
      <c r="C85" s="43">
        <v>89</v>
      </c>
      <c r="D85" s="43">
        <v>1</v>
      </c>
      <c r="E85" s="86">
        <v>1</v>
      </c>
      <c r="F85" s="102">
        <v>1</v>
      </c>
      <c r="G85" s="28">
        <v>0</v>
      </c>
      <c r="H85" s="86">
        <f t="shared" si="10"/>
        <v>1</v>
      </c>
      <c r="I85" s="86">
        <v>0</v>
      </c>
      <c r="J85" s="24"/>
      <c r="U85" s="10"/>
      <c r="V85" s="4"/>
      <c r="W85" s="4"/>
      <c r="X85" s="4"/>
      <c r="Y85" s="84"/>
    </row>
    <row r="86" spans="1:25" x14ac:dyDescent="0.35">
      <c r="A86" s="11">
        <v>83</v>
      </c>
      <c r="B86" s="42" t="s">
        <v>131</v>
      </c>
      <c r="C86" s="43">
        <v>67</v>
      </c>
      <c r="D86" s="43">
        <v>1</v>
      </c>
      <c r="E86" s="86">
        <v>1</v>
      </c>
      <c r="F86" s="102">
        <v>1</v>
      </c>
      <c r="G86" s="28">
        <v>0</v>
      </c>
      <c r="H86" s="86">
        <f t="shared" si="10"/>
        <v>1</v>
      </c>
      <c r="I86" s="86" t="s">
        <v>241</v>
      </c>
      <c r="J86" s="24"/>
      <c r="U86" s="10"/>
      <c r="V86" s="4"/>
      <c r="W86" s="4"/>
      <c r="X86" s="4"/>
      <c r="Y86" s="84"/>
    </row>
    <row r="87" spans="1:25" x14ac:dyDescent="0.35">
      <c r="A87" s="11">
        <v>84</v>
      </c>
      <c r="B87" s="44" t="s">
        <v>132</v>
      </c>
      <c r="C87" s="43">
        <v>67</v>
      </c>
      <c r="D87" s="43">
        <v>1</v>
      </c>
      <c r="E87" s="86">
        <v>1</v>
      </c>
      <c r="F87" s="102">
        <v>1</v>
      </c>
      <c r="G87" s="28">
        <v>0</v>
      </c>
      <c r="H87" s="86">
        <f t="shared" si="10"/>
        <v>1</v>
      </c>
      <c r="I87" s="86" t="s">
        <v>239</v>
      </c>
      <c r="J87" s="24"/>
      <c r="U87" s="10"/>
      <c r="V87" s="4"/>
      <c r="W87" s="4"/>
      <c r="X87" s="4"/>
      <c r="Y87" s="84"/>
    </row>
    <row r="88" spans="1:25" x14ac:dyDescent="0.35">
      <c r="A88" s="11">
        <v>85</v>
      </c>
      <c r="B88" s="44" t="s">
        <v>133</v>
      </c>
      <c r="C88" s="43">
        <v>77</v>
      </c>
      <c r="D88" s="43">
        <v>1</v>
      </c>
      <c r="E88" s="86">
        <v>1</v>
      </c>
      <c r="F88" s="102">
        <v>1</v>
      </c>
      <c r="G88" s="28">
        <v>0</v>
      </c>
      <c r="H88" s="86">
        <f t="shared" si="10"/>
        <v>1</v>
      </c>
      <c r="I88" s="86">
        <v>0</v>
      </c>
      <c r="J88" s="24"/>
      <c r="U88" s="10"/>
      <c r="V88" s="4"/>
      <c r="W88" s="4"/>
      <c r="X88" s="4"/>
      <c r="Y88" s="84"/>
    </row>
    <row r="89" spans="1:25" x14ac:dyDescent="0.35">
      <c r="A89" s="11">
        <v>86</v>
      </c>
      <c r="B89" s="42" t="s">
        <v>134</v>
      </c>
      <c r="C89" s="43">
        <v>113</v>
      </c>
      <c r="D89" s="43">
        <v>1</v>
      </c>
      <c r="E89" s="86">
        <v>1</v>
      </c>
      <c r="F89" s="102">
        <v>1</v>
      </c>
      <c r="G89" s="28">
        <v>0</v>
      </c>
      <c r="H89" s="86">
        <f t="shared" si="10"/>
        <v>1</v>
      </c>
      <c r="I89" s="86">
        <v>0</v>
      </c>
      <c r="J89" s="24"/>
      <c r="U89" s="10"/>
      <c r="V89" s="4"/>
      <c r="W89" s="4"/>
      <c r="X89" s="4"/>
      <c r="Y89" s="84"/>
    </row>
    <row r="90" spans="1:25" x14ac:dyDescent="0.35">
      <c r="A90" s="11">
        <v>87</v>
      </c>
      <c r="B90" s="44" t="s">
        <v>135</v>
      </c>
      <c r="C90" s="43">
        <v>35</v>
      </c>
      <c r="D90" s="43">
        <v>0</v>
      </c>
      <c r="E90" s="86">
        <v>1</v>
      </c>
      <c r="F90" s="102">
        <v>1</v>
      </c>
      <c r="G90" s="28">
        <v>0</v>
      </c>
      <c r="H90" s="86">
        <f t="shared" si="10"/>
        <v>0</v>
      </c>
      <c r="I90" s="86">
        <v>0</v>
      </c>
      <c r="J90" s="24"/>
      <c r="U90" s="10"/>
      <c r="V90" s="4"/>
      <c r="W90" s="4"/>
      <c r="X90" s="4"/>
      <c r="Y90" s="84"/>
    </row>
    <row r="91" spans="1:25" x14ac:dyDescent="0.35">
      <c r="A91" s="11">
        <v>88</v>
      </c>
      <c r="B91" s="42" t="s">
        <v>136</v>
      </c>
      <c r="C91" s="43">
        <v>49</v>
      </c>
      <c r="D91" s="43">
        <v>0</v>
      </c>
      <c r="E91" s="86">
        <v>1</v>
      </c>
      <c r="F91" s="102">
        <v>1</v>
      </c>
      <c r="G91" s="28">
        <v>0</v>
      </c>
      <c r="H91" s="86">
        <f t="shared" si="10"/>
        <v>0</v>
      </c>
      <c r="I91" s="86">
        <v>0</v>
      </c>
      <c r="J91" s="24"/>
      <c r="U91" s="10"/>
      <c r="V91" s="4"/>
      <c r="W91" s="4"/>
      <c r="X91" s="4"/>
      <c r="Y91" s="84"/>
    </row>
    <row r="92" spans="1:25" x14ac:dyDescent="0.35">
      <c r="A92" s="11">
        <v>89</v>
      </c>
      <c r="B92" s="44" t="s">
        <v>137</v>
      </c>
      <c r="C92" s="43">
        <v>75</v>
      </c>
      <c r="D92" s="43">
        <v>1</v>
      </c>
      <c r="E92" s="86">
        <v>1</v>
      </c>
      <c r="F92" s="102">
        <v>1</v>
      </c>
      <c r="G92" s="28">
        <v>0</v>
      </c>
      <c r="H92" s="86">
        <f t="shared" si="10"/>
        <v>1</v>
      </c>
      <c r="I92" s="86" t="s">
        <v>237</v>
      </c>
      <c r="J92" s="24"/>
      <c r="U92" s="10"/>
      <c r="V92" s="4"/>
      <c r="W92" s="4"/>
      <c r="X92" s="4"/>
      <c r="Y92" s="84"/>
    </row>
    <row r="93" spans="1:25" x14ac:dyDescent="0.35">
      <c r="A93" s="11">
        <v>90</v>
      </c>
      <c r="B93" s="42" t="s">
        <v>138</v>
      </c>
      <c r="C93" s="43">
        <v>98</v>
      </c>
      <c r="D93" s="43">
        <v>1</v>
      </c>
      <c r="E93" s="86">
        <v>1</v>
      </c>
      <c r="F93" s="102">
        <v>1</v>
      </c>
      <c r="G93" s="28">
        <v>0</v>
      </c>
      <c r="H93" s="86">
        <f t="shared" si="10"/>
        <v>1</v>
      </c>
      <c r="I93" s="86">
        <v>0</v>
      </c>
      <c r="J93" s="24"/>
      <c r="U93" s="10"/>
      <c r="V93" s="4"/>
      <c r="W93" s="4"/>
      <c r="X93" s="4"/>
      <c r="Y93" s="84"/>
    </row>
    <row r="94" spans="1:25" x14ac:dyDescent="0.35">
      <c r="A94" s="11">
        <v>91</v>
      </c>
      <c r="B94" s="44" t="s">
        <v>139</v>
      </c>
      <c r="C94" s="43">
        <v>109</v>
      </c>
      <c r="D94" s="43">
        <v>1</v>
      </c>
      <c r="E94" s="86">
        <v>1</v>
      </c>
      <c r="F94" s="102">
        <v>1</v>
      </c>
      <c r="G94" s="28">
        <v>0</v>
      </c>
      <c r="H94" s="86">
        <f t="shared" si="10"/>
        <v>1</v>
      </c>
      <c r="I94" s="86">
        <v>0</v>
      </c>
      <c r="J94" s="24"/>
      <c r="U94" s="10"/>
      <c r="V94" s="4"/>
      <c r="W94" s="4"/>
      <c r="X94" s="4"/>
      <c r="Y94" s="84"/>
    </row>
    <row r="95" spans="1:25" x14ac:dyDescent="0.35">
      <c r="A95" s="11">
        <v>92</v>
      </c>
      <c r="B95" s="42" t="s">
        <v>140</v>
      </c>
      <c r="C95" s="43">
        <v>29</v>
      </c>
      <c r="D95" s="43">
        <v>0</v>
      </c>
      <c r="E95" s="86">
        <v>1</v>
      </c>
      <c r="F95" s="102">
        <v>1</v>
      </c>
      <c r="G95" s="28">
        <v>0</v>
      </c>
      <c r="H95" s="86">
        <f t="shared" si="10"/>
        <v>0</v>
      </c>
      <c r="I95" s="86">
        <v>0</v>
      </c>
      <c r="J95" s="24"/>
      <c r="U95" s="10"/>
      <c r="V95" s="4"/>
      <c r="W95" s="4"/>
      <c r="X95" s="4"/>
      <c r="Y95" s="84"/>
    </row>
    <row r="96" spans="1:25" x14ac:dyDescent="0.35">
      <c r="A96" s="11">
        <v>93</v>
      </c>
      <c r="B96" s="44" t="s">
        <v>141</v>
      </c>
      <c r="C96" s="43">
        <v>39</v>
      </c>
      <c r="D96" s="43">
        <v>0</v>
      </c>
      <c r="E96" s="86">
        <v>1</v>
      </c>
      <c r="F96" s="102">
        <v>1</v>
      </c>
      <c r="G96" s="28">
        <v>0</v>
      </c>
      <c r="H96" s="86">
        <f t="shared" si="10"/>
        <v>0</v>
      </c>
      <c r="I96" s="86">
        <v>0</v>
      </c>
      <c r="J96" s="24"/>
      <c r="U96" s="10"/>
      <c r="V96" s="4"/>
      <c r="W96" s="4"/>
      <c r="X96" s="4"/>
      <c r="Y96" s="84"/>
    </row>
    <row r="97" spans="1:25" x14ac:dyDescent="0.35">
      <c r="A97" s="11">
        <v>94</v>
      </c>
      <c r="B97" s="42" t="s">
        <v>142</v>
      </c>
      <c r="C97" s="43">
        <v>30</v>
      </c>
      <c r="D97" s="43">
        <v>0</v>
      </c>
      <c r="E97" s="86">
        <v>1</v>
      </c>
      <c r="F97" s="102">
        <v>1</v>
      </c>
      <c r="G97" s="28">
        <v>0</v>
      </c>
      <c r="H97" s="86">
        <f t="shared" si="10"/>
        <v>0</v>
      </c>
      <c r="I97" s="86">
        <v>0</v>
      </c>
      <c r="J97" s="24"/>
      <c r="U97" s="10"/>
      <c r="V97" s="4"/>
      <c r="W97" s="4"/>
      <c r="X97" s="4"/>
      <c r="Y97" s="84"/>
    </row>
    <row r="98" spans="1:25" x14ac:dyDescent="0.35">
      <c r="A98" s="11">
        <v>95</v>
      </c>
      <c r="B98" s="44" t="s">
        <v>143</v>
      </c>
      <c r="C98" s="43">
        <v>26</v>
      </c>
      <c r="D98" s="43">
        <v>0</v>
      </c>
      <c r="E98" s="86">
        <v>1</v>
      </c>
      <c r="F98" s="102">
        <v>1</v>
      </c>
      <c r="G98" s="28">
        <v>1</v>
      </c>
      <c r="H98" s="86">
        <f t="shared" si="10"/>
        <v>1</v>
      </c>
      <c r="I98" s="86">
        <v>0</v>
      </c>
      <c r="J98" s="24"/>
      <c r="U98" s="10"/>
      <c r="V98" s="4"/>
      <c r="W98" s="4"/>
      <c r="X98" s="4"/>
      <c r="Y98" s="84"/>
    </row>
    <row r="99" spans="1:25" x14ac:dyDescent="0.35">
      <c r="A99" s="11">
        <v>96</v>
      </c>
      <c r="B99" s="42" t="s">
        <v>144</v>
      </c>
      <c r="C99" s="43">
        <v>26</v>
      </c>
      <c r="D99" s="43">
        <v>0</v>
      </c>
      <c r="E99" s="86">
        <v>1</v>
      </c>
      <c r="F99" s="102">
        <v>1</v>
      </c>
      <c r="G99" s="28">
        <v>0</v>
      </c>
      <c r="H99" s="86">
        <f t="shared" si="10"/>
        <v>0</v>
      </c>
      <c r="I99" s="86">
        <v>0</v>
      </c>
      <c r="J99" s="24"/>
      <c r="U99" s="10"/>
      <c r="V99" s="4"/>
      <c r="W99" s="4"/>
      <c r="X99" s="4"/>
      <c r="Y99" s="84"/>
    </row>
    <row r="100" spans="1:25" x14ac:dyDescent="0.35">
      <c r="A100" s="11">
        <v>97</v>
      </c>
      <c r="B100" s="44" t="s">
        <v>145</v>
      </c>
      <c r="C100" s="43">
        <v>41</v>
      </c>
      <c r="D100" s="43">
        <v>0</v>
      </c>
      <c r="E100" s="86">
        <v>1</v>
      </c>
      <c r="F100" s="102">
        <v>1</v>
      </c>
      <c r="G100" s="28">
        <v>0</v>
      </c>
      <c r="H100" s="86">
        <f t="shared" si="10"/>
        <v>0</v>
      </c>
      <c r="I100" s="86">
        <v>0</v>
      </c>
      <c r="J100" s="24"/>
      <c r="U100" s="10"/>
      <c r="V100" s="4"/>
      <c r="W100" s="4"/>
      <c r="X100" s="4"/>
      <c r="Y100" s="84"/>
    </row>
    <row r="101" spans="1:25" x14ac:dyDescent="0.35">
      <c r="A101" s="11">
        <v>98</v>
      </c>
      <c r="B101" s="42" t="s">
        <v>146</v>
      </c>
      <c r="C101" s="43">
        <v>28</v>
      </c>
      <c r="D101" s="43">
        <v>0</v>
      </c>
      <c r="E101" s="86">
        <v>1</v>
      </c>
      <c r="F101" s="102">
        <v>1</v>
      </c>
      <c r="G101" s="28">
        <v>0</v>
      </c>
      <c r="H101" s="86">
        <f t="shared" si="10"/>
        <v>0</v>
      </c>
      <c r="I101" s="86">
        <v>0</v>
      </c>
      <c r="J101" s="24"/>
      <c r="U101" s="10"/>
      <c r="V101" s="4"/>
      <c r="W101" s="4"/>
      <c r="X101" s="4"/>
      <c r="Y101" s="84"/>
    </row>
    <row r="102" spans="1:25" x14ac:dyDescent="0.35">
      <c r="A102" s="11">
        <v>99</v>
      </c>
      <c r="B102" s="44" t="s">
        <v>147</v>
      </c>
      <c r="C102" s="43">
        <v>33</v>
      </c>
      <c r="D102" s="43">
        <v>0</v>
      </c>
      <c r="E102" s="86">
        <v>1</v>
      </c>
      <c r="F102" s="102">
        <v>1</v>
      </c>
      <c r="G102" s="28">
        <v>1</v>
      </c>
      <c r="H102" s="86">
        <f t="shared" si="10"/>
        <v>1</v>
      </c>
      <c r="I102" s="86">
        <v>0</v>
      </c>
      <c r="J102" s="24"/>
      <c r="U102" s="10"/>
      <c r="V102" s="4"/>
      <c r="W102" s="4"/>
      <c r="X102" s="4"/>
      <c r="Y102" s="84"/>
    </row>
    <row r="103" spans="1:25" x14ac:dyDescent="0.35">
      <c r="A103" s="11">
        <v>100</v>
      </c>
      <c r="B103" s="42" t="s">
        <v>148</v>
      </c>
      <c r="C103" s="43">
        <v>31</v>
      </c>
      <c r="D103" s="43">
        <v>0</v>
      </c>
      <c r="E103" s="86">
        <v>1</v>
      </c>
      <c r="F103" s="102">
        <v>1</v>
      </c>
      <c r="G103" s="28">
        <v>0</v>
      </c>
      <c r="H103" s="86">
        <f t="shared" si="10"/>
        <v>0</v>
      </c>
      <c r="I103" s="86">
        <v>0</v>
      </c>
      <c r="J103" s="24"/>
      <c r="U103" s="10"/>
      <c r="V103" s="4"/>
      <c r="W103" s="4"/>
      <c r="X103" s="4"/>
      <c r="Y103" s="84"/>
    </row>
    <row r="104" spans="1:25" x14ac:dyDescent="0.35">
      <c r="A104" s="11">
        <v>101</v>
      </c>
      <c r="B104" s="42" t="s">
        <v>149</v>
      </c>
      <c r="C104" s="43">
        <v>29</v>
      </c>
      <c r="D104" s="43">
        <v>0</v>
      </c>
      <c r="E104" s="86">
        <v>1</v>
      </c>
      <c r="F104" s="102">
        <v>1</v>
      </c>
      <c r="G104" s="28">
        <v>0</v>
      </c>
      <c r="H104" s="86">
        <f t="shared" si="10"/>
        <v>0</v>
      </c>
      <c r="I104" s="86">
        <v>0</v>
      </c>
      <c r="J104" s="24"/>
      <c r="U104" s="10"/>
      <c r="V104" s="4"/>
      <c r="W104" s="4"/>
      <c r="X104" s="4"/>
      <c r="Y104" s="84"/>
    </row>
    <row r="105" spans="1:25" x14ac:dyDescent="0.35">
      <c r="A105" s="11">
        <v>102</v>
      </c>
      <c r="B105" s="44" t="s">
        <v>150</v>
      </c>
      <c r="C105" s="43">
        <v>33</v>
      </c>
      <c r="D105" s="43">
        <v>0</v>
      </c>
      <c r="E105" s="86">
        <v>1</v>
      </c>
      <c r="F105" s="102">
        <v>1</v>
      </c>
      <c r="G105" s="28">
        <v>0</v>
      </c>
      <c r="H105" s="86">
        <f t="shared" si="10"/>
        <v>0</v>
      </c>
      <c r="I105" s="86">
        <v>0</v>
      </c>
      <c r="J105" s="24"/>
      <c r="U105" s="10"/>
      <c r="V105" s="4"/>
      <c r="W105" s="4"/>
      <c r="X105" s="4"/>
      <c r="Y105" s="84"/>
    </row>
    <row r="106" spans="1:25" x14ac:dyDescent="0.35">
      <c r="A106" s="11">
        <v>103</v>
      </c>
      <c r="B106" s="45" t="s">
        <v>151</v>
      </c>
      <c r="C106" s="30">
        <v>94</v>
      </c>
      <c r="D106" s="30">
        <v>1</v>
      </c>
      <c r="E106" s="86">
        <v>1</v>
      </c>
      <c r="F106" s="102">
        <v>1</v>
      </c>
      <c r="G106" s="28">
        <v>0</v>
      </c>
      <c r="H106" s="86">
        <f t="shared" si="10"/>
        <v>1</v>
      </c>
      <c r="I106" s="86" t="s">
        <v>242</v>
      </c>
      <c r="J106" s="24"/>
      <c r="U106" s="10"/>
      <c r="V106" s="4"/>
      <c r="W106" s="4"/>
      <c r="X106" s="4"/>
      <c r="Y106" s="84"/>
    </row>
    <row r="107" spans="1:25" x14ac:dyDescent="0.35">
      <c r="A107" s="11">
        <v>104</v>
      </c>
      <c r="B107" s="45" t="s">
        <v>152</v>
      </c>
      <c r="C107" s="30">
        <v>87</v>
      </c>
      <c r="D107" s="30">
        <v>1</v>
      </c>
      <c r="E107" s="86">
        <v>1</v>
      </c>
      <c r="F107" s="102">
        <v>1</v>
      </c>
      <c r="G107" s="28">
        <v>0</v>
      </c>
      <c r="H107" s="86">
        <f t="shared" si="10"/>
        <v>1</v>
      </c>
      <c r="I107" s="86" t="s">
        <v>240</v>
      </c>
      <c r="J107" s="24"/>
      <c r="U107" s="10"/>
      <c r="V107" s="4"/>
      <c r="W107" s="4"/>
      <c r="X107" s="4"/>
      <c r="Y107" s="84"/>
    </row>
    <row r="108" spans="1:25" x14ac:dyDescent="0.35">
      <c r="A108" s="11">
        <v>105</v>
      </c>
      <c r="B108" s="45" t="s">
        <v>153</v>
      </c>
      <c r="C108" s="30">
        <v>76</v>
      </c>
      <c r="D108" s="30">
        <v>1</v>
      </c>
      <c r="E108" s="86">
        <v>1</v>
      </c>
      <c r="F108" s="102">
        <v>1</v>
      </c>
      <c r="G108" s="28">
        <v>0</v>
      </c>
      <c r="H108" s="86">
        <f t="shared" si="10"/>
        <v>1</v>
      </c>
      <c r="I108" s="86" t="s">
        <v>238</v>
      </c>
      <c r="J108" s="24"/>
      <c r="U108" s="10"/>
      <c r="V108" s="4"/>
      <c r="W108" s="4"/>
      <c r="X108" s="4"/>
      <c r="Y108" s="84"/>
    </row>
    <row r="109" spans="1:25" x14ac:dyDescent="0.35">
      <c r="A109" s="11">
        <v>106</v>
      </c>
      <c r="B109" s="46" t="s">
        <v>154</v>
      </c>
      <c r="C109" s="30">
        <v>101</v>
      </c>
      <c r="D109" s="30">
        <v>1</v>
      </c>
      <c r="E109" s="86">
        <v>1</v>
      </c>
      <c r="F109" s="102">
        <v>1</v>
      </c>
      <c r="G109" s="28">
        <v>0</v>
      </c>
      <c r="H109" s="86">
        <f t="shared" si="10"/>
        <v>1</v>
      </c>
      <c r="I109" s="86">
        <v>0</v>
      </c>
      <c r="J109" s="24"/>
      <c r="U109" s="10"/>
      <c r="V109" s="4"/>
      <c r="W109" s="4"/>
      <c r="X109" s="4"/>
      <c r="Y109" s="84"/>
    </row>
    <row r="110" spans="1:25" x14ac:dyDescent="0.35">
      <c r="A110" s="11">
        <v>107</v>
      </c>
      <c r="B110" s="45" t="s">
        <v>155</v>
      </c>
      <c r="C110" s="30">
        <v>89</v>
      </c>
      <c r="D110" s="30">
        <v>1</v>
      </c>
      <c r="E110" s="86">
        <v>1</v>
      </c>
      <c r="F110" s="102">
        <v>1</v>
      </c>
      <c r="G110" s="28">
        <v>0</v>
      </c>
      <c r="H110" s="86">
        <f t="shared" si="10"/>
        <v>1</v>
      </c>
      <c r="I110" s="86">
        <v>0</v>
      </c>
      <c r="J110" s="24"/>
      <c r="U110" s="10"/>
      <c r="V110" s="4"/>
      <c r="W110" s="4"/>
      <c r="X110" s="4"/>
      <c r="Y110" s="84"/>
    </row>
    <row r="111" spans="1:25" x14ac:dyDescent="0.35">
      <c r="A111" s="11">
        <v>108</v>
      </c>
      <c r="B111" s="46" t="s">
        <v>156</v>
      </c>
      <c r="C111" s="30">
        <v>92</v>
      </c>
      <c r="D111" s="30">
        <v>1</v>
      </c>
      <c r="E111" s="86">
        <v>1</v>
      </c>
      <c r="F111" s="102">
        <v>1</v>
      </c>
      <c r="G111" s="28">
        <v>0</v>
      </c>
      <c r="H111" s="86">
        <f t="shared" si="10"/>
        <v>1</v>
      </c>
      <c r="I111" s="86">
        <v>0</v>
      </c>
      <c r="J111" s="24"/>
      <c r="U111" s="10"/>
      <c r="V111" s="4"/>
      <c r="W111" s="4"/>
      <c r="X111" s="4"/>
      <c r="Y111" s="84"/>
    </row>
    <row r="112" spans="1:25" x14ac:dyDescent="0.35">
      <c r="A112" s="11">
        <v>109</v>
      </c>
      <c r="B112" s="45" t="s">
        <v>157</v>
      </c>
      <c r="C112" s="30">
        <v>97</v>
      </c>
      <c r="D112" s="30">
        <v>1</v>
      </c>
      <c r="E112" s="86">
        <v>1</v>
      </c>
      <c r="F112" s="102">
        <v>1</v>
      </c>
      <c r="G112" s="28">
        <v>0</v>
      </c>
      <c r="H112" s="86">
        <f t="shared" si="10"/>
        <v>1</v>
      </c>
      <c r="I112" s="86">
        <v>0</v>
      </c>
      <c r="J112" s="24"/>
      <c r="U112" s="10"/>
      <c r="V112" s="4"/>
      <c r="W112" s="4"/>
      <c r="X112" s="4"/>
      <c r="Y112" s="84"/>
    </row>
    <row r="113" spans="1:25" x14ac:dyDescent="0.35">
      <c r="A113" s="11">
        <v>110</v>
      </c>
      <c r="B113" s="46" t="s">
        <v>158</v>
      </c>
      <c r="C113" s="30">
        <v>50</v>
      </c>
      <c r="D113" s="30">
        <v>0</v>
      </c>
      <c r="E113" s="86">
        <v>1</v>
      </c>
      <c r="F113" s="102">
        <v>1</v>
      </c>
      <c r="G113" s="28">
        <v>0</v>
      </c>
      <c r="H113" s="86">
        <f t="shared" si="10"/>
        <v>0</v>
      </c>
      <c r="I113" s="86">
        <v>0</v>
      </c>
      <c r="J113" s="24"/>
      <c r="U113" s="10"/>
      <c r="V113" s="4"/>
      <c r="W113" s="4"/>
      <c r="X113" s="4"/>
      <c r="Y113" s="84"/>
    </row>
    <row r="114" spans="1:25" x14ac:dyDescent="0.35">
      <c r="A114" s="11">
        <v>111</v>
      </c>
      <c r="B114" s="46" t="s">
        <v>159</v>
      </c>
      <c r="C114" s="30">
        <v>36</v>
      </c>
      <c r="D114" s="30">
        <v>0</v>
      </c>
      <c r="E114" s="86">
        <v>1</v>
      </c>
      <c r="F114" s="102">
        <v>1</v>
      </c>
      <c r="G114" s="28">
        <v>0</v>
      </c>
      <c r="H114" s="86">
        <f t="shared" si="10"/>
        <v>0</v>
      </c>
      <c r="I114" s="86">
        <v>0</v>
      </c>
      <c r="J114" s="24"/>
      <c r="U114" s="10"/>
      <c r="V114" s="4"/>
      <c r="W114" s="4"/>
      <c r="X114" s="4"/>
      <c r="Y114" s="84"/>
    </row>
    <row r="115" spans="1:25" x14ac:dyDescent="0.35">
      <c r="A115" s="11">
        <v>112</v>
      </c>
      <c r="B115" s="45" t="s">
        <v>160</v>
      </c>
      <c r="C115" s="30">
        <v>44</v>
      </c>
      <c r="D115" s="30">
        <v>0</v>
      </c>
      <c r="E115" s="86">
        <v>1</v>
      </c>
      <c r="F115" s="102">
        <v>1</v>
      </c>
      <c r="G115" s="28">
        <v>0</v>
      </c>
      <c r="H115" s="86">
        <f t="shared" si="10"/>
        <v>0</v>
      </c>
      <c r="I115" s="86">
        <v>0</v>
      </c>
      <c r="J115" s="24"/>
      <c r="U115" s="10"/>
      <c r="V115" s="4"/>
      <c r="W115" s="4"/>
      <c r="X115" s="4"/>
      <c r="Y115" s="84"/>
    </row>
    <row r="116" spans="1:25" x14ac:dyDescent="0.35">
      <c r="A116" s="11">
        <v>113</v>
      </c>
      <c r="B116" s="46" t="s">
        <v>161</v>
      </c>
      <c r="C116" s="30">
        <v>46</v>
      </c>
      <c r="D116" s="30">
        <v>0</v>
      </c>
      <c r="E116" s="86">
        <v>1</v>
      </c>
      <c r="F116" s="102">
        <v>1</v>
      </c>
      <c r="G116" s="28">
        <v>0</v>
      </c>
      <c r="H116" s="86">
        <f t="shared" si="10"/>
        <v>0</v>
      </c>
      <c r="I116" s="86">
        <v>0</v>
      </c>
      <c r="J116" s="24"/>
      <c r="U116" s="10"/>
      <c r="V116" s="4"/>
      <c r="W116" s="4"/>
      <c r="X116" s="4"/>
      <c r="Y116" s="84"/>
    </row>
    <row r="117" spans="1:25" x14ac:dyDescent="0.35">
      <c r="A117" s="11">
        <v>114</v>
      </c>
      <c r="B117" s="45" t="s">
        <v>162</v>
      </c>
      <c r="C117" s="30">
        <v>43</v>
      </c>
      <c r="D117" s="30">
        <v>0</v>
      </c>
      <c r="E117" s="86">
        <v>1</v>
      </c>
      <c r="F117" s="102">
        <v>1</v>
      </c>
      <c r="G117" s="28">
        <v>0</v>
      </c>
      <c r="H117" s="86">
        <f t="shared" si="10"/>
        <v>0</v>
      </c>
      <c r="I117" s="86">
        <v>0</v>
      </c>
      <c r="J117" s="24"/>
      <c r="U117" s="10"/>
      <c r="V117" s="4"/>
      <c r="W117" s="4"/>
      <c r="X117" s="4"/>
      <c r="Y117" s="84"/>
    </row>
    <row r="118" spans="1:25" x14ac:dyDescent="0.35">
      <c r="A118" s="11">
        <v>115</v>
      </c>
      <c r="B118" s="46" t="s">
        <v>163</v>
      </c>
      <c r="C118" s="30">
        <v>46</v>
      </c>
      <c r="D118" s="30">
        <v>0</v>
      </c>
      <c r="E118" s="86">
        <v>1</v>
      </c>
      <c r="F118" s="102">
        <v>1</v>
      </c>
      <c r="G118" s="28">
        <v>0</v>
      </c>
      <c r="H118" s="86">
        <f t="shared" si="10"/>
        <v>0</v>
      </c>
      <c r="I118" s="86">
        <v>0</v>
      </c>
      <c r="J118" s="24"/>
      <c r="U118" s="10"/>
      <c r="V118" s="4"/>
      <c r="W118" s="4"/>
      <c r="X118" s="4"/>
      <c r="Y118" s="84"/>
    </row>
    <row r="119" spans="1:25" x14ac:dyDescent="0.35">
      <c r="A119" s="11">
        <v>116</v>
      </c>
      <c r="B119" s="45" t="s">
        <v>164</v>
      </c>
      <c r="C119" s="30">
        <v>42</v>
      </c>
      <c r="D119" s="30">
        <v>0</v>
      </c>
      <c r="E119" s="86">
        <v>1</v>
      </c>
      <c r="F119" s="102">
        <v>1</v>
      </c>
      <c r="G119" s="28">
        <v>0</v>
      </c>
      <c r="H119" s="86">
        <f t="shared" si="10"/>
        <v>0</v>
      </c>
      <c r="I119" s="86">
        <v>0</v>
      </c>
      <c r="J119" s="24"/>
      <c r="U119" s="10"/>
      <c r="V119" s="4"/>
      <c r="W119" s="4"/>
      <c r="X119" s="4"/>
      <c r="Y119" s="84"/>
    </row>
    <row r="120" spans="1:25" x14ac:dyDescent="0.35">
      <c r="A120" s="11">
        <v>117</v>
      </c>
      <c r="B120" s="47" t="s">
        <v>247</v>
      </c>
      <c r="C120" s="30">
        <v>44</v>
      </c>
      <c r="D120" s="30">
        <v>0</v>
      </c>
      <c r="E120" s="86">
        <v>1</v>
      </c>
      <c r="F120" s="102">
        <v>1</v>
      </c>
      <c r="G120" s="28">
        <v>0</v>
      </c>
      <c r="H120" s="86">
        <f t="shared" si="10"/>
        <v>0</v>
      </c>
      <c r="I120" s="86">
        <v>0</v>
      </c>
      <c r="J120" s="24"/>
      <c r="U120" s="10"/>
      <c r="V120" s="4"/>
      <c r="W120" s="4"/>
      <c r="X120" s="4"/>
      <c r="Y120" s="84"/>
    </row>
    <row r="121" spans="1:25" x14ac:dyDescent="0.35">
      <c r="A121" s="11">
        <v>118</v>
      </c>
      <c r="B121" s="45" t="s">
        <v>165</v>
      </c>
      <c r="C121" s="30">
        <v>44</v>
      </c>
      <c r="D121" s="30">
        <v>0</v>
      </c>
      <c r="E121" s="86">
        <v>1</v>
      </c>
      <c r="F121" s="102">
        <v>1</v>
      </c>
      <c r="G121" s="28">
        <v>0</v>
      </c>
      <c r="H121" s="86">
        <f t="shared" si="10"/>
        <v>0</v>
      </c>
      <c r="I121" s="86">
        <v>0</v>
      </c>
      <c r="J121" s="24"/>
      <c r="U121" s="10"/>
      <c r="V121" s="4"/>
      <c r="W121" s="4"/>
      <c r="X121" s="4"/>
      <c r="Y121" s="84"/>
    </row>
    <row r="122" spans="1:25" x14ac:dyDescent="0.35">
      <c r="A122" s="11">
        <v>119</v>
      </c>
      <c r="B122" s="46" t="s">
        <v>166</v>
      </c>
      <c r="C122" s="30">
        <v>18</v>
      </c>
      <c r="D122" s="30">
        <v>0</v>
      </c>
      <c r="E122" s="86">
        <v>1</v>
      </c>
      <c r="F122" s="102">
        <v>1</v>
      </c>
      <c r="G122" s="28">
        <v>0</v>
      </c>
      <c r="H122" s="86">
        <f t="shared" si="10"/>
        <v>0</v>
      </c>
      <c r="I122" s="86">
        <v>0</v>
      </c>
      <c r="J122" s="24"/>
      <c r="U122" s="10"/>
      <c r="V122" s="4"/>
      <c r="W122" s="4"/>
      <c r="X122" s="4"/>
      <c r="Y122" s="84"/>
    </row>
    <row r="123" spans="1:25" x14ac:dyDescent="0.35">
      <c r="A123" s="11">
        <v>120</v>
      </c>
      <c r="B123" s="46" t="s">
        <v>167</v>
      </c>
      <c r="C123" s="30">
        <v>35</v>
      </c>
      <c r="D123" s="30">
        <v>0</v>
      </c>
      <c r="E123" s="86">
        <v>1</v>
      </c>
      <c r="F123" s="102">
        <v>1</v>
      </c>
      <c r="G123" s="28">
        <v>0</v>
      </c>
      <c r="H123" s="86">
        <f t="shared" si="10"/>
        <v>0</v>
      </c>
      <c r="I123" s="86">
        <v>0</v>
      </c>
      <c r="J123" s="24"/>
      <c r="U123" s="10"/>
      <c r="V123" s="4"/>
      <c r="W123" s="4"/>
      <c r="X123" s="4"/>
      <c r="Y123" s="84"/>
    </row>
    <row r="124" spans="1:25" x14ac:dyDescent="0.35">
      <c r="A124" s="11">
        <v>121</v>
      </c>
      <c r="B124" s="46" t="s">
        <v>168</v>
      </c>
      <c r="C124" s="30">
        <v>56</v>
      </c>
      <c r="D124" s="30">
        <v>0</v>
      </c>
      <c r="E124" s="86">
        <v>1</v>
      </c>
      <c r="F124" s="102">
        <v>1</v>
      </c>
      <c r="G124" s="28">
        <v>0</v>
      </c>
      <c r="H124" s="86">
        <f t="shared" si="10"/>
        <v>0</v>
      </c>
      <c r="I124" s="86">
        <v>0</v>
      </c>
      <c r="J124" s="24"/>
      <c r="U124" s="10"/>
      <c r="V124" s="4"/>
      <c r="W124" s="4"/>
      <c r="X124" s="4"/>
      <c r="Y124" s="84"/>
    </row>
    <row r="125" spans="1:25" x14ac:dyDescent="0.35">
      <c r="A125" s="11">
        <v>122</v>
      </c>
      <c r="B125" s="46" t="s">
        <v>169</v>
      </c>
      <c r="C125" s="30">
        <v>50</v>
      </c>
      <c r="D125" s="30">
        <v>0</v>
      </c>
      <c r="E125" s="86">
        <v>1</v>
      </c>
      <c r="F125" s="102">
        <v>1</v>
      </c>
      <c r="G125" s="28">
        <v>0</v>
      </c>
      <c r="H125" s="86">
        <f t="shared" si="10"/>
        <v>0</v>
      </c>
      <c r="I125" s="86">
        <v>0</v>
      </c>
      <c r="J125" s="24"/>
      <c r="U125" s="10"/>
      <c r="V125" s="4"/>
      <c r="W125" s="4"/>
      <c r="X125" s="4"/>
      <c r="Y125" s="84"/>
    </row>
    <row r="126" spans="1:25" x14ac:dyDescent="0.35">
      <c r="A126" s="11">
        <v>123</v>
      </c>
      <c r="B126" s="46" t="s">
        <v>170</v>
      </c>
      <c r="C126" s="30">
        <v>39</v>
      </c>
      <c r="D126" s="30">
        <v>0</v>
      </c>
      <c r="E126" s="86">
        <v>1</v>
      </c>
      <c r="F126" s="102">
        <v>1</v>
      </c>
      <c r="G126" s="28">
        <v>0</v>
      </c>
      <c r="H126" s="86">
        <f t="shared" si="10"/>
        <v>0</v>
      </c>
      <c r="I126" s="86">
        <v>0</v>
      </c>
      <c r="J126" s="24"/>
      <c r="U126" s="10"/>
      <c r="V126" s="4"/>
      <c r="W126" s="4"/>
      <c r="X126" s="4"/>
      <c r="Y126" s="84"/>
    </row>
    <row r="127" spans="1:25" x14ac:dyDescent="0.35">
      <c r="A127" s="11">
        <v>124</v>
      </c>
      <c r="B127" s="46" t="s">
        <v>171</v>
      </c>
      <c r="C127" s="30">
        <v>15</v>
      </c>
      <c r="D127" s="30">
        <v>0</v>
      </c>
      <c r="E127" s="86">
        <v>1</v>
      </c>
      <c r="F127" s="102">
        <v>1</v>
      </c>
      <c r="G127" s="28">
        <v>0</v>
      </c>
      <c r="H127" s="86">
        <f t="shared" si="10"/>
        <v>0</v>
      </c>
      <c r="I127" s="86">
        <v>0</v>
      </c>
      <c r="J127" s="24"/>
      <c r="U127" s="10"/>
      <c r="V127" s="4"/>
      <c r="W127" s="4"/>
      <c r="X127" s="4"/>
      <c r="Y127" s="84"/>
    </row>
    <row r="128" spans="1:25" ht="15.5" x14ac:dyDescent="0.35">
      <c r="A128" s="11">
        <v>125</v>
      </c>
      <c r="B128" s="48" t="s">
        <v>172</v>
      </c>
      <c r="C128" s="49">
        <v>70</v>
      </c>
      <c r="D128" s="49">
        <v>1</v>
      </c>
      <c r="E128" s="86">
        <v>1</v>
      </c>
      <c r="F128" s="102">
        <v>1</v>
      </c>
      <c r="G128" s="28">
        <v>0</v>
      </c>
      <c r="H128" s="86">
        <f t="shared" si="10"/>
        <v>1</v>
      </c>
      <c r="I128" s="86" t="s">
        <v>242</v>
      </c>
      <c r="J128" s="24"/>
      <c r="U128" s="10"/>
      <c r="V128" s="4"/>
      <c r="W128" s="4"/>
      <c r="X128" s="4"/>
      <c r="Y128" s="84"/>
    </row>
    <row r="129" spans="1:25" ht="15.5" x14ac:dyDescent="0.35">
      <c r="A129" s="11">
        <v>126</v>
      </c>
      <c r="B129" s="50" t="s">
        <v>173</v>
      </c>
      <c r="C129" s="49">
        <v>72</v>
      </c>
      <c r="D129" s="49">
        <v>1</v>
      </c>
      <c r="E129" s="86">
        <v>1</v>
      </c>
      <c r="F129" s="102">
        <v>1</v>
      </c>
      <c r="G129" s="28">
        <v>0</v>
      </c>
      <c r="H129" s="86">
        <f t="shared" si="10"/>
        <v>1</v>
      </c>
      <c r="I129" s="86" t="s">
        <v>240</v>
      </c>
      <c r="J129" s="24"/>
      <c r="U129" s="10"/>
      <c r="V129" s="4"/>
      <c r="W129" s="4"/>
      <c r="X129" s="4"/>
      <c r="Y129" s="84"/>
    </row>
    <row r="130" spans="1:25" ht="15.5" x14ac:dyDescent="0.35">
      <c r="A130" s="11">
        <v>127</v>
      </c>
      <c r="B130" s="51" t="s">
        <v>174</v>
      </c>
      <c r="C130" s="49">
        <v>67</v>
      </c>
      <c r="D130" s="49">
        <v>1</v>
      </c>
      <c r="E130" s="86">
        <v>1</v>
      </c>
      <c r="F130" s="102">
        <v>1</v>
      </c>
      <c r="G130" s="28">
        <v>0</v>
      </c>
      <c r="H130" s="86">
        <f t="shared" si="10"/>
        <v>1</v>
      </c>
      <c r="I130" s="86" t="s">
        <v>238</v>
      </c>
      <c r="J130" s="24"/>
      <c r="U130" s="10"/>
      <c r="V130" s="4"/>
      <c r="W130" s="4"/>
      <c r="X130" s="4"/>
      <c r="Y130" s="84"/>
    </row>
    <row r="131" spans="1:25" ht="15.5" x14ac:dyDescent="0.35">
      <c r="A131" s="11">
        <v>128</v>
      </c>
      <c r="B131" s="51" t="s">
        <v>175</v>
      </c>
      <c r="C131" s="49">
        <v>80</v>
      </c>
      <c r="D131" s="49">
        <v>1</v>
      </c>
      <c r="E131" s="86">
        <v>1</v>
      </c>
      <c r="F131" s="102">
        <v>1</v>
      </c>
      <c r="G131" s="28">
        <v>0</v>
      </c>
      <c r="H131" s="86">
        <f t="shared" si="10"/>
        <v>1</v>
      </c>
      <c r="I131" s="86">
        <v>0</v>
      </c>
      <c r="J131" s="24"/>
      <c r="U131" s="10"/>
      <c r="V131" s="4"/>
      <c r="W131" s="4"/>
      <c r="X131" s="4"/>
      <c r="Y131" s="84"/>
    </row>
    <row r="132" spans="1:25" ht="15.5" x14ac:dyDescent="0.35">
      <c r="A132" s="11">
        <v>129</v>
      </c>
      <c r="B132" s="48" t="s">
        <v>176</v>
      </c>
      <c r="C132" s="49">
        <v>75</v>
      </c>
      <c r="D132" s="49">
        <v>1</v>
      </c>
      <c r="E132" s="86">
        <v>1</v>
      </c>
      <c r="F132" s="102">
        <v>1</v>
      </c>
      <c r="G132" s="28">
        <v>0</v>
      </c>
      <c r="H132" s="86">
        <f t="shared" si="10"/>
        <v>1</v>
      </c>
      <c r="I132" s="86">
        <v>0</v>
      </c>
      <c r="J132" s="24"/>
      <c r="U132" s="10"/>
      <c r="V132" s="4"/>
      <c r="W132" s="4"/>
      <c r="X132" s="4"/>
      <c r="Y132" s="84"/>
    </row>
    <row r="133" spans="1:25" ht="15.5" x14ac:dyDescent="0.35">
      <c r="A133" s="11">
        <v>130</v>
      </c>
      <c r="B133" s="51" t="s">
        <v>177</v>
      </c>
      <c r="C133" s="49">
        <v>71</v>
      </c>
      <c r="D133" s="49">
        <v>1</v>
      </c>
      <c r="E133" s="86">
        <v>1</v>
      </c>
      <c r="F133" s="102">
        <v>1</v>
      </c>
      <c r="G133" s="28">
        <v>0</v>
      </c>
      <c r="H133" s="86">
        <f t="shared" ref="H133:H174" si="11">IF(G133=0,IF(C133&lt;67,0,1),IF(C133&lt;26,0,1))</f>
        <v>1</v>
      </c>
      <c r="I133" s="86">
        <v>0</v>
      </c>
      <c r="J133" s="24"/>
      <c r="U133" s="10"/>
      <c r="V133" s="4"/>
      <c r="W133" s="4"/>
      <c r="X133" s="4"/>
      <c r="Y133" s="84"/>
    </row>
    <row r="134" spans="1:25" ht="15.5" x14ac:dyDescent="0.35">
      <c r="A134" s="11">
        <v>131</v>
      </c>
      <c r="B134" s="52" t="s">
        <v>178</v>
      </c>
      <c r="C134" s="49">
        <v>71</v>
      </c>
      <c r="D134" s="49">
        <v>1</v>
      </c>
      <c r="E134" s="86">
        <v>1</v>
      </c>
      <c r="F134" s="102">
        <v>1</v>
      </c>
      <c r="G134" s="28">
        <v>0</v>
      </c>
      <c r="H134" s="86">
        <f t="shared" si="11"/>
        <v>1</v>
      </c>
      <c r="I134" s="86">
        <v>0</v>
      </c>
      <c r="J134" s="24"/>
      <c r="U134" s="10"/>
      <c r="V134" s="4"/>
      <c r="W134" s="4"/>
      <c r="X134" s="4"/>
      <c r="Y134" s="84"/>
    </row>
    <row r="135" spans="1:25" ht="15.5" x14ac:dyDescent="0.35">
      <c r="A135" s="11">
        <v>132</v>
      </c>
      <c r="B135" s="52" t="s">
        <v>179</v>
      </c>
      <c r="C135" s="49">
        <v>50</v>
      </c>
      <c r="D135" s="49">
        <v>0</v>
      </c>
      <c r="E135" s="86">
        <v>1</v>
      </c>
      <c r="F135" s="102">
        <v>1</v>
      </c>
      <c r="G135" s="28">
        <v>1</v>
      </c>
      <c r="H135" s="86">
        <f t="shared" si="11"/>
        <v>1</v>
      </c>
      <c r="I135" s="86">
        <v>0</v>
      </c>
      <c r="J135" s="24"/>
      <c r="U135" s="10"/>
      <c r="V135" s="4"/>
      <c r="W135" s="4"/>
      <c r="X135" s="4"/>
      <c r="Y135" s="84"/>
    </row>
    <row r="136" spans="1:25" ht="16" thickBot="1" x14ac:dyDescent="0.4">
      <c r="A136" s="11">
        <v>133</v>
      </c>
      <c r="B136" s="52" t="s">
        <v>180</v>
      </c>
      <c r="C136" s="49">
        <v>40</v>
      </c>
      <c r="D136" s="49">
        <v>0</v>
      </c>
      <c r="E136" s="86">
        <v>1</v>
      </c>
      <c r="F136" s="102">
        <v>1</v>
      </c>
      <c r="G136" s="28">
        <v>0</v>
      </c>
      <c r="H136" s="86">
        <f t="shared" si="11"/>
        <v>0</v>
      </c>
      <c r="I136" s="86">
        <v>0</v>
      </c>
      <c r="J136" s="24"/>
      <c r="U136" s="10"/>
      <c r="V136" s="4"/>
      <c r="W136" s="4"/>
      <c r="X136" s="4"/>
      <c r="Y136" s="84"/>
    </row>
    <row r="137" spans="1:25" ht="15.5" x14ac:dyDescent="0.35">
      <c r="A137" s="11">
        <v>134</v>
      </c>
      <c r="B137" s="53" t="s">
        <v>181</v>
      </c>
      <c r="C137" s="54">
        <v>28</v>
      </c>
      <c r="D137" s="54">
        <v>0</v>
      </c>
      <c r="E137" s="86">
        <v>1</v>
      </c>
      <c r="F137" s="102">
        <v>1</v>
      </c>
      <c r="G137" s="28">
        <v>0</v>
      </c>
      <c r="H137" s="86">
        <f t="shared" si="11"/>
        <v>0</v>
      </c>
      <c r="I137" s="86">
        <v>0</v>
      </c>
      <c r="J137" s="24"/>
      <c r="U137" s="10"/>
      <c r="V137" s="4"/>
      <c r="W137" s="4"/>
      <c r="X137" s="4"/>
      <c r="Y137" s="84"/>
    </row>
    <row r="138" spans="1:25" ht="16" thickBot="1" x14ac:dyDescent="0.4">
      <c r="A138" s="11">
        <v>135</v>
      </c>
      <c r="B138" s="55" t="s">
        <v>182</v>
      </c>
      <c r="C138" s="54">
        <v>41</v>
      </c>
      <c r="D138" s="54">
        <v>0</v>
      </c>
      <c r="E138" s="86">
        <v>1</v>
      </c>
      <c r="F138" s="102">
        <v>1</v>
      </c>
      <c r="G138" s="28">
        <v>0</v>
      </c>
      <c r="H138" s="86">
        <f t="shared" si="11"/>
        <v>0</v>
      </c>
      <c r="I138" s="86">
        <v>0</v>
      </c>
      <c r="J138" s="24"/>
      <c r="U138" s="10"/>
      <c r="V138" s="4"/>
      <c r="W138" s="4"/>
      <c r="X138" s="4"/>
      <c r="Y138" s="84"/>
    </row>
    <row r="139" spans="1:25" ht="15.5" x14ac:dyDescent="0.35">
      <c r="A139" s="11">
        <v>136</v>
      </c>
      <c r="B139" s="56" t="s">
        <v>183</v>
      </c>
      <c r="C139" s="54">
        <v>32</v>
      </c>
      <c r="D139" s="54">
        <v>0</v>
      </c>
      <c r="E139" s="86">
        <v>1</v>
      </c>
      <c r="F139" s="102">
        <v>1</v>
      </c>
      <c r="G139" s="28">
        <v>0</v>
      </c>
      <c r="H139" s="86">
        <f t="shared" si="11"/>
        <v>0</v>
      </c>
      <c r="I139" s="86">
        <v>0</v>
      </c>
      <c r="J139" s="24"/>
      <c r="U139" s="10"/>
      <c r="V139" s="4"/>
      <c r="W139" s="4"/>
      <c r="X139" s="4"/>
      <c r="Y139" s="84"/>
    </row>
    <row r="140" spans="1:25" ht="16" thickBot="1" x14ac:dyDescent="0.4">
      <c r="A140" s="11">
        <v>137</v>
      </c>
      <c r="B140" s="55" t="s">
        <v>184</v>
      </c>
      <c r="C140" s="54">
        <v>39</v>
      </c>
      <c r="D140" s="54">
        <v>0</v>
      </c>
      <c r="E140" s="86">
        <v>1</v>
      </c>
      <c r="F140" s="102">
        <v>1</v>
      </c>
      <c r="G140" s="28">
        <v>0</v>
      </c>
      <c r="H140" s="86">
        <f t="shared" si="11"/>
        <v>0</v>
      </c>
      <c r="I140" s="86">
        <v>0</v>
      </c>
      <c r="J140" s="24"/>
      <c r="U140" s="10"/>
      <c r="V140" s="4"/>
      <c r="W140" s="4"/>
      <c r="X140" s="4"/>
      <c r="Y140" s="84"/>
    </row>
    <row r="141" spans="1:25" ht="15.5" x14ac:dyDescent="0.35">
      <c r="A141" s="11">
        <v>138</v>
      </c>
      <c r="B141" s="51" t="s">
        <v>185</v>
      </c>
      <c r="C141" s="54">
        <v>67</v>
      </c>
      <c r="D141" s="54">
        <v>1</v>
      </c>
      <c r="E141" s="86">
        <v>1</v>
      </c>
      <c r="F141" s="102">
        <v>1</v>
      </c>
      <c r="G141" s="28">
        <v>0</v>
      </c>
      <c r="H141" s="86">
        <f t="shared" si="11"/>
        <v>1</v>
      </c>
      <c r="I141" s="86">
        <v>0</v>
      </c>
      <c r="J141" s="24"/>
      <c r="U141" s="10"/>
      <c r="V141" s="4"/>
      <c r="W141" s="4"/>
      <c r="X141" s="4"/>
      <c r="Y141" s="84"/>
    </row>
    <row r="142" spans="1:25" ht="15.5" x14ac:dyDescent="0.35">
      <c r="A142" s="11">
        <v>139</v>
      </c>
      <c r="B142" s="51" t="s">
        <v>186</v>
      </c>
      <c r="C142" s="54">
        <v>73</v>
      </c>
      <c r="D142" s="54">
        <v>1</v>
      </c>
      <c r="E142" s="86">
        <v>1</v>
      </c>
      <c r="F142" s="102">
        <v>1</v>
      </c>
      <c r="G142" s="28">
        <v>0</v>
      </c>
      <c r="H142" s="86">
        <f t="shared" si="11"/>
        <v>1</v>
      </c>
      <c r="I142" s="86">
        <v>0</v>
      </c>
      <c r="J142" s="24"/>
      <c r="U142" s="10"/>
      <c r="V142" s="4"/>
      <c r="W142" s="4"/>
      <c r="X142" s="4"/>
      <c r="Y142" s="84"/>
    </row>
    <row r="143" spans="1:25" ht="15.5" x14ac:dyDescent="0.35">
      <c r="A143" s="11">
        <v>140</v>
      </c>
      <c r="B143" s="51" t="s">
        <v>187</v>
      </c>
      <c r="C143" s="54">
        <v>67</v>
      </c>
      <c r="D143" s="54">
        <v>1</v>
      </c>
      <c r="E143" s="86">
        <v>1</v>
      </c>
      <c r="F143" s="102">
        <v>1</v>
      </c>
      <c r="G143" s="28">
        <v>0</v>
      </c>
      <c r="H143" s="86">
        <f t="shared" si="11"/>
        <v>1</v>
      </c>
      <c r="I143" s="86">
        <v>0</v>
      </c>
      <c r="J143" s="24"/>
      <c r="U143" s="10"/>
      <c r="V143" s="4"/>
      <c r="W143" s="4"/>
      <c r="X143" s="4"/>
      <c r="Y143" s="84"/>
    </row>
    <row r="144" spans="1:25" ht="15.5" x14ac:dyDescent="0.35">
      <c r="A144" s="11">
        <v>141</v>
      </c>
      <c r="B144" s="51" t="s">
        <v>188</v>
      </c>
      <c r="C144" s="54">
        <v>31</v>
      </c>
      <c r="D144" s="54">
        <v>0</v>
      </c>
      <c r="E144" s="86">
        <v>1</v>
      </c>
      <c r="F144" s="102">
        <v>1</v>
      </c>
      <c r="G144" s="28">
        <v>1</v>
      </c>
      <c r="H144" s="86">
        <f t="shared" si="11"/>
        <v>1</v>
      </c>
      <c r="I144" s="86">
        <v>0</v>
      </c>
      <c r="J144" s="24"/>
      <c r="U144" s="10"/>
      <c r="V144" s="4"/>
      <c r="W144" s="4"/>
      <c r="X144" s="4"/>
      <c r="Y144" s="84"/>
    </row>
    <row r="145" spans="1:25" ht="15.5" x14ac:dyDescent="0.35">
      <c r="A145" s="11">
        <v>142</v>
      </c>
      <c r="B145" s="51" t="s">
        <v>189</v>
      </c>
      <c r="C145" s="54">
        <v>36</v>
      </c>
      <c r="D145" s="54">
        <v>0</v>
      </c>
      <c r="E145" s="86">
        <v>1</v>
      </c>
      <c r="F145" s="102">
        <v>1</v>
      </c>
      <c r="G145" s="28">
        <v>1</v>
      </c>
      <c r="H145" s="86">
        <f t="shared" si="11"/>
        <v>1</v>
      </c>
      <c r="I145" s="86">
        <v>0</v>
      </c>
      <c r="J145" s="24"/>
      <c r="U145" s="10"/>
      <c r="V145" s="4"/>
      <c r="W145" s="4"/>
      <c r="X145" s="4"/>
      <c r="Y145" s="84"/>
    </row>
    <row r="146" spans="1:25" ht="15.5" x14ac:dyDescent="0.35">
      <c r="A146" s="11">
        <v>143</v>
      </c>
      <c r="B146" s="51" t="s">
        <v>190</v>
      </c>
      <c r="C146" s="54">
        <v>3</v>
      </c>
      <c r="D146" s="54">
        <v>0</v>
      </c>
      <c r="E146" s="86">
        <v>1</v>
      </c>
      <c r="F146" s="102">
        <v>1</v>
      </c>
      <c r="G146" s="28">
        <v>0</v>
      </c>
      <c r="H146" s="86">
        <f t="shared" si="11"/>
        <v>0</v>
      </c>
      <c r="I146" s="86">
        <v>0</v>
      </c>
      <c r="J146" s="24"/>
      <c r="U146" s="10"/>
      <c r="V146" s="4"/>
      <c r="W146" s="4"/>
      <c r="X146" s="4"/>
      <c r="Y146" s="84"/>
    </row>
    <row r="147" spans="1:25" ht="15.5" x14ac:dyDescent="0.35">
      <c r="A147" s="11">
        <v>144</v>
      </c>
      <c r="B147" s="52" t="s">
        <v>191</v>
      </c>
      <c r="C147" s="54">
        <v>63</v>
      </c>
      <c r="D147" s="54">
        <v>0</v>
      </c>
      <c r="E147" s="86">
        <v>1</v>
      </c>
      <c r="F147" s="102">
        <v>1</v>
      </c>
      <c r="G147" s="28">
        <v>0</v>
      </c>
      <c r="H147" s="86">
        <f t="shared" si="11"/>
        <v>0</v>
      </c>
      <c r="I147" s="86">
        <v>0</v>
      </c>
      <c r="J147" s="24"/>
      <c r="U147" s="10"/>
      <c r="V147" s="4"/>
      <c r="W147" s="4"/>
      <c r="X147" s="4"/>
      <c r="Y147" s="84"/>
    </row>
    <row r="148" spans="1:25" ht="15.5" x14ac:dyDescent="0.35">
      <c r="A148" s="11">
        <v>145</v>
      </c>
      <c r="B148" s="51" t="s">
        <v>192</v>
      </c>
      <c r="C148" s="54">
        <v>70</v>
      </c>
      <c r="D148" s="54">
        <v>1</v>
      </c>
      <c r="E148" s="86">
        <v>1</v>
      </c>
      <c r="F148" s="102">
        <v>1</v>
      </c>
      <c r="G148" s="28">
        <v>0</v>
      </c>
      <c r="H148" s="86">
        <f t="shared" si="11"/>
        <v>1</v>
      </c>
      <c r="I148" s="86">
        <v>0</v>
      </c>
      <c r="J148" s="24"/>
      <c r="U148" s="10"/>
      <c r="V148" s="4"/>
      <c r="W148" s="4"/>
      <c r="X148" s="4"/>
      <c r="Y148" s="84"/>
    </row>
    <row r="149" spans="1:25" ht="15.5" x14ac:dyDescent="0.35">
      <c r="A149" s="11">
        <v>146</v>
      </c>
      <c r="B149" s="57" t="s">
        <v>193</v>
      </c>
      <c r="C149" s="54">
        <v>36</v>
      </c>
      <c r="D149" s="54">
        <v>0</v>
      </c>
      <c r="E149" s="86">
        <v>1</v>
      </c>
      <c r="F149" s="102">
        <v>1</v>
      </c>
      <c r="G149" s="28">
        <v>0</v>
      </c>
      <c r="H149" s="86">
        <f t="shared" si="11"/>
        <v>0</v>
      </c>
      <c r="I149" s="86">
        <v>0</v>
      </c>
      <c r="J149" s="24"/>
      <c r="U149" s="10"/>
      <c r="V149" s="4"/>
      <c r="W149" s="4"/>
      <c r="X149" s="4"/>
      <c r="Y149" s="84"/>
    </row>
    <row r="150" spans="1:25" ht="15.5" x14ac:dyDescent="0.35">
      <c r="A150" s="11">
        <v>147</v>
      </c>
      <c r="B150" s="58" t="s">
        <v>194</v>
      </c>
      <c r="C150" s="54">
        <v>27</v>
      </c>
      <c r="D150" s="54">
        <v>0</v>
      </c>
      <c r="E150" s="86">
        <v>1</v>
      </c>
      <c r="F150" s="102">
        <v>1</v>
      </c>
      <c r="G150" s="28">
        <v>0</v>
      </c>
      <c r="H150" s="86">
        <f t="shared" si="11"/>
        <v>0</v>
      </c>
      <c r="I150" s="86">
        <v>0</v>
      </c>
      <c r="J150" s="24"/>
      <c r="U150" s="10"/>
      <c r="V150" s="4"/>
      <c r="W150" s="4"/>
      <c r="X150" s="4"/>
      <c r="Y150" s="84"/>
    </row>
    <row r="151" spans="1:25" ht="15.5" x14ac:dyDescent="0.35">
      <c r="A151" s="11">
        <v>148</v>
      </c>
      <c r="B151" s="58" t="s">
        <v>195</v>
      </c>
      <c r="C151" s="54">
        <v>62</v>
      </c>
      <c r="D151" s="54">
        <v>0</v>
      </c>
      <c r="E151" s="86">
        <v>1</v>
      </c>
      <c r="F151" s="102">
        <v>1</v>
      </c>
      <c r="G151" s="28">
        <v>0</v>
      </c>
      <c r="H151" s="86">
        <f t="shared" si="11"/>
        <v>0</v>
      </c>
      <c r="I151" s="86">
        <v>0</v>
      </c>
      <c r="J151" s="24"/>
      <c r="U151" s="10"/>
      <c r="V151" s="4"/>
      <c r="W151" s="4"/>
      <c r="X151" s="4"/>
      <c r="Y151" s="84"/>
    </row>
    <row r="152" spans="1:25" ht="15.5" x14ac:dyDescent="0.35">
      <c r="A152" s="11">
        <v>149</v>
      </c>
      <c r="B152" s="58" t="s">
        <v>196</v>
      </c>
      <c r="C152" s="54">
        <v>62</v>
      </c>
      <c r="D152" s="54">
        <v>0</v>
      </c>
      <c r="E152" s="86">
        <v>1</v>
      </c>
      <c r="F152" s="102">
        <v>1</v>
      </c>
      <c r="G152" s="28">
        <v>0</v>
      </c>
      <c r="H152" s="86">
        <f t="shared" si="11"/>
        <v>0</v>
      </c>
      <c r="I152" s="86">
        <v>0</v>
      </c>
      <c r="J152" s="24"/>
      <c r="U152" s="10"/>
      <c r="V152" s="4"/>
      <c r="W152" s="4"/>
      <c r="X152" s="4"/>
      <c r="Y152" s="84"/>
    </row>
    <row r="153" spans="1:25" x14ac:dyDescent="0.35">
      <c r="A153" s="11">
        <v>150</v>
      </c>
      <c r="B153" s="59" t="s">
        <v>197</v>
      </c>
      <c r="C153" s="60">
        <v>75</v>
      </c>
      <c r="D153" s="60">
        <v>1</v>
      </c>
      <c r="E153" s="86">
        <v>1</v>
      </c>
      <c r="F153" s="102">
        <v>1</v>
      </c>
      <c r="G153" s="28">
        <v>0</v>
      </c>
      <c r="H153" s="86">
        <f t="shared" si="11"/>
        <v>1</v>
      </c>
      <c r="I153" s="86">
        <v>0</v>
      </c>
      <c r="J153" s="24"/>
      <c r="U153" s="10"/>
      <c r="V153" s="4"/>
      <c r="W153" s="4"/>
      <c r="X153" s="4"/>
      <c r="Y153" s="84"/>
    </row>
    <row r="154" spans="1:25" x14ac:dyDescent="0.35">
      <c r="A154" s="11">
        <v>151</v>
      </c>
      <c r="B154" s="61" t="s">
        <v>198</v>
      </c>
      <c r="C154" s="60">
        <v>77</v>
      </c>
      <c r="D154" s="60">
        <v>1</v>
      </c>
      <c r="E154" s="86">
        <v>1</v>
      </c>
      <c r="F154" s="102">
        <v>1</v>
      </c>
      <c r="G154" s="28">
        <v>0</v>
      </c>
      <c r="H154" s="86">
        <f t="shared" si="11"/>
        <v>1</v>
      </c>
      <c r="I154" s="86">
        <v>0</v>
      </c>
      <c r="J154" s="24"/>
      <c r="U154" s="10"/>
      <c r="V154" s="4"/>
      <c r="W154" s="4"/>
      <c r="X154" s="4"/>
      <c r="Y154" s="84"/>
    </row>
    <row r="155" spans="1:25" x14ac:dyDescent="0.35">
      <c r="A155" s="11">
        <v>152</v>
      </c>
      <c r="B155" s="59" t="s">
        <v>199</v>
      </c>
      <c r="C155" s="60">
        <v>74</v>
      </c>
      <c r="D155" s="60">
        <v>1</v>
      </c>
      <c r="E155" s="86">
        <v>1</v>
      </c>
      <c r="F155" s="102">
        <v>1</v>
      </c>
      <c r="G155" s="28">
        <v>0</v>
      </c>
      <c r="H155" s="86">
        <f t="shared" si="11"/>
        <v>1</v>
      </c>
      <c r="I155" s="86">
        <v>0</v>
      </c>
      <c r="J155" s="24"/>
      <c r="U155" s="10"/>
      <c r="V155" s="4"/>
      <c r="W155" s="4"/>
      <c r="X155" s="4"/>
      <c r="Y155" s="84"/>
    </row>
    <row r="156" spans="1:25" x14ac:dyDescent="0.35">
      <c r="A156" s="11">
        <v>153</v>
      </c>
      <c r="B156" s="61" t="s">
        <v>200</v>
      </c>
      <c r="C156" s="60">
        <v>75</v>
      </c>
      <c r="D156" s="60">
        <v>1</v>
      </c>
      <c r="E156" s="86">
        <v>1</v>
      </c>
      <c r="F156" s="102">
        <v>1</v>
      </c>
      <c r="G156" s="28">
        <v>0</v>
      </c>
      <c r="H156" s="86">
        <f t="shared" si="11"/>
        <v>1</v>
      </c>
      <c r="I156" s="86">
        <v>0</v>
      </c>
      <c r="J156" s="24"/>
      <c r="U156" s="10"/>
      <c r="V156" s="4"/>
      <c r="W156" s="4"/>
      <c r="X156" s="4"/>
      <c r="Y156" s="84"/>
    </row>
    <row r="157" spans="1:25" x14ac:dyDescent="0.35">
      <c r="A157" s="11">
        <v>154</v>
      </c>
      <c r="B157" s="62" t="s">
        <v>201</v>
      </c>
      <c r="C157" s="63">
        <v>66</v>
      </c>
      <c r="D157" s="63">
        <v>0</v>
      </c>
      <c r="E157" s="86">
        <v>1</v>
      </c>
      <c r="F157" s="102">
        <v>1</v>
      </c>
      <c r="G157" s="28">
        <v>0</v>
      </c>
      <c r="H157" s="86">
        <f t="shared" si="11"/>
        <v>0</v>
      </c>
      <c r="I157" s="86" t="s">
        <v>242</v>
      </c>
      <c r="J157" s="24"/>
      <c r="U157" s="10"/>
      <c r="V157" s="4"/>
      <c r="W157" s="4"/>
      <c r="X157" s="4"/>
      <c r="Y157" s="84"/>
    </row>
    <row r="158" spans="1:25" x14ac:dyDescent="0.35">
      <c r="A158" s="11">
        <v>155</v>
      </c>
      <c r="B158" s="62" t="s">
        <v>202</v>
      </c>
      <c r="C158" s="63">
        <v>66</v>
      </c>
      <c r="D158" s="63">
        <v>0</v>
      </c>
      <c r="E158" s="86">
        <v>1</v>
      </c>
      <c r="F158" s="102">
        <v>1</v>
      </c>
      <c r="G158" s="28">
        <v>0</v>
      </c>
      <c r="H158" s="86">
        <f t="shared" si="11"/>
        <v>0</v>
      </c>
      <c r="I158" s="86" t="s">
        <v>240</v>
      </c>
      <c r="J158" s="24"/>
      <c r="U158" s="10"/>
      <c r="V158" s="4"/>
      <c r="W158" s="4"/>
      <c r="X158" s="4"/>
      <c r="Y158" s="84"/>
    </row>
    <row r="159" spans="1:25" x14ac:dyDescent="0.35">
      <c r="A159" s="11">
        <v>156</v>
      </c>
      <c r="B159" s="62" t="s">
        <v>203</v>
      </c>
      <c r="C159" s="63">
        <v>70</v>
      </c>
      <c r="D159" s="63">
        <v>1</v>
      </c>
      <c r="E159" s="86">
        <v>1</v>
      </c>
      <c r="F159" s="102">
        <v>1</v>
      </c>
      <c r="G159" s="28">
        <v>0</v>
      </c>
      <c r="H159" s="86">
        <f t="shared" si="11"/>
        <v>1</v>
      </c>
      <c r="I159" s="86" t="s">
        <v>238</v>
      </c>
      <c r="J159" s="24"/>
      <c r="U159" s="10"/>
      <c r="V159" s="4"/>
      <c r="W159" s="4"/>
      <c r="X159" s="4"/>
      <c r="Y159" s="84"/>
    </row>
    <row r="160" spans="1:25" x14ac:dyDescent="0.35">
      <c r="A160" s="11">
        <v>157</v>
      </c>
      <c r="B160" s="64" t="s">
        <v>204</v>
      </c>
      <c r="C160" s="63">
        <v>38</v>
      </c>
      <c r="D160" s="63">
        <v>0</v>
      </c>
      <c r="E160" s="86">
        <v>1</v>
      </c>
      <c r="F160" s="102">
        <v>1</v>
      </c>
      <c r="G160" s="28">
        <v>0</v>
      </c>
      <c r="H160" s="86">
        <f t="shared" si="11"/>
        <v>0</v>
      </c>
      <c r="I160" s="86">
        <v>0</v>
      </c>
      <c r="J160" s="24"/>
      <c r="U160" s="10"/>
      <c r="V160" s="4"/>
      <c r="W160" s="4"/>
      <c r="X160" s="4"/>
      <c r="Y160" s="84"/>
    </row>
    <row r="161" spans="1:25" x14ac:dyDescent="0.35">
      <c r="A161" s="11">
        <v>158</v>
      </c>
      <c r="B161" s="65" t="s">
        <v>205</v>
      </c>
      <c r="C161" s="63">
        <v>37</v>
      </c>
      <c r="D161" s="63">
        <v>0</v>
      </c>
      <c r="E161" s="86">
        <v>1</v>
      </c>
      <c r="F161" s="102">
        <v>1</v>
      </c>
      <c r="G161" s="28">
        <v>0</v>
      </c>
      <c r="H161" s="86">
        <f t="shared" si="11"/>
        <v>0</v>
      </c>
      <c r="I161" s="86">
        <v>0</v>
      </c>
      <c r="J161" s="24"/>
      <c r="U161" s="10"/>
      <c r="V161" s="4"/>
      <c r="W161" s="4"/>
      <c r="X161" s="4"/>
      <c r="Y161" s="84"/>
    </row>
    <row r="162" spans="1:25" x14ac:dyDescent="0.35">
      <c r="A162" s="11">
        <v>159</v>
      </c>
      <c r="B162" s="64" t="s">
        <v>206</v>
      </c>
      <c r="C162" s="63">
        <v>22</v>
      </c>
      <c r="D162" s="63">
        <v>0</v>
      </c>
      <c r="E162" s="86">
        <v>1</v>
      </c>
      <c r="F162" s="102">
        <v>1</v>
      </c>
      <c r="G162" s="28">
        <v>0</v>
      </c>
      <c r="H162" s="86">
        <f t="shared" si="11"/>
        <v>0</v>
      </c>
      <c r="I162" s="86">
        <v>0</v>
      </c>
      <c r="J162" s="24"/>
      <c r="U162" s="10"/>
      <c r="V162" s="4"/>
      <c r="W162" s="4"/>
      <c r="X162" s="4"/>
      <c r="Y162" s="84"/>
    </row>
    <row r="163" spans="1:25" x14ac:dyDescent="0.35">
      <c r="A163" s="11">
        <v>160</v>
      </c>
      <c r="B163" s="65" t="s">
        <v>207</v>
      </c>
      <c r="C163" s="63">
        <v>57</v>
      </c>
      <c r="D163" s="63">
        <v>0</v>
      </c>
      <c r="E163" s="86">
        <v>1</v>
      </c>
      <c r="F163" s="102">
        <v>1</v>
      </c>
      <c r="G163" s="28">
        <v>0</v>
      </c>
      <c r="H163" s="86">
        <f t="shared" si="11"/>
        <v>0</v>
      </c>
      <c r="I163" s="86">
        <v>0</v>
      </c>
      <c r="J163" s="24"/>
      <c r="U163" s="10"/>
      <c r="V163" s="4"/>
      <c r="W163" s="4"/>
      <c r="X163" s="4"/>
      <c r="Y163" s="84"/>
    </row>
    <row r="164" spans="1:25" x14ac:dyDescent="0.35">
      <c r="A164" s="11">
        <v>161</v>
      </c>
      <c r="B164" s="62" t="s">
        <v>208</v>
      </c>
      <c r="C164" s="63">
        <v>54</v>
      </c>
      <c r="D164" s="63">
        <v>0</v>
      </c>
      <c r="E164" s="86">
        <v>1</v>
      </c>
      <c r="F164" s="102">
        <v>1</v>
      </c>
      <c r="G164" s="28">
        <v>0</v>
      </c>
      <c r="H164" s="86">
        <f t="shared" si="11"/>
        <v>0</v>
      </c>
      <c r="I164" s="86">
        <v>0</v>
      </c>
      <c r="J164" s="24"/>
      <c r="U164" s="10"/>
      <c r="V164" s="4"/>
      <c r="W164" s="4"/>
      <c r="X164" s="4"/>
      <c r="Y164" s="84"/>
    </row>
    <row r="165" spans="1:25" x14ac:dyDescent="0.35">
      <c r="A165" s="11">
        <v>162</v>
      </c>
      <c r="B165" s="64" t="s">
        <v>209</v>
      </c>
      <c r="C165" s="63">
        <v>54</v>
      </c>
      <c r="D165" s="63">
        <v>0</v>
      </c>
      <c r="E165" s="86">
        <v>1</v>
      </c>
      <c r="F165" s="102">
        <v>1</v>
      </c>
      <c r="G165" s="28">
        <v>0</v>
      </c>
      <c r="H165" s="86">
        <f t="shared" si="11"/>
        <v>0</v>
      </c>
      <c r="I165" s="86">
        <v>0</v>
      </c>
      <c r="J165" s="24"/>
      <c r="U165" s="10"/>
      <c r="V165" s="4"/>
      <c r="W165" s="4"/>
      <c r="X165" s="4"/>
      <c r="Y165" s="84"/>
    </row>
    <row r="166" spans="1:25" x14ac:dyDescent="0.35">
      <c r="A166" s="11">
        <v>163</v>
      </c>
      <c r="B166" s="66" t="s">
        <v>210</v>
      </c>
      <c r="C166" s="63">
        <v>53</v>
      </c>
      <c r="D166" s="63">
        <v>0</v>
      </c>
      <c r="E166" s="86">
        <v>1</v>
      </c>
      <c r="F166" s="102">
        <v>1</v>
      </c>
      <c r="G166" s="28">
        <v>0</v>
      </c>
      <c r="H166" s="86">
        <f t="shared" si="11"/>
        <v>0</v>
      </c>
      <c r="I166" s="86">
        <v>0</v>
      </c>
      <c r="J166" s="24"/>
      <c r="U166" s="10"/>
      <c r="V166" s="4"/>
      <c r="W166" s="4"/>
      <c r="X166" s="4"/>
      <c r="Y166" s="84"/>
    </row>
    <row r="167" spans="1:25" x14ac:dyDescent="0.35">
      <c r="A167" s="11">
        <v>164</v>
      </c>
      <c r="B167" s="64" t="s">
        <v>211</v>
      </c>
      <c r="C167" s="63">
        <v>53</v>
      </c>
      <c r="D167" s="63">
        <v>0</v>
      </c>
      <c r="E167" s="86">
        <v>1</v>
      </c>
      <c r="F167" s="102">
        <v>1</v>
      </c>
      <c r="G167" s="28">
        <v>0</v>
      </c>
      <c r="H167" s="86">
        <f t="shared" si="11"/>
        <v>0</v>
      </c>
      <c r="I167" s="86">
        <v>0</v>
      </c>
      <c r="J167" s="24"/>
      <c r="U167" s="10"/>
      <c r="V167" s="4"/>
      <c r="W167" s="4"/>
      <c r="X167" s="4"/>
      <c r="Y167" s="84"/>
    </row>
    <row r="168" spans="1:25" x14ac:dyDescent="0.35">
      <c r="A168" s="11">
        <v>165</v>
      </c>
      <c r="B168" s="67" t="s">
        <v>212</v>
      </c>
      <c r="C168" s="63">
        <v>54</v>
      </c>
      <c r="D168" s="63">
        <v>0</v>
      </c>
      <c r="E168" s="86">
        <v>1</v>
      </c>
      <c r="F168" s="102">
        <v>1</v>
      </c>
      <c r="G168" s="28">
        <v>0</v>
      </c>
      <c r="H168" s="86">
        <f t="shared" si="11"/>
        <v>0</v>
      </c>
      <c r="I168" s="86">
        <v>0</v>
      </c>
      <c r="J168" s="24"/>
      <c r="U168" s="10"/>
      <c r="V168" s="4"/>
      <c r="W168" s="4"/>
      <c r="X168" s="4"/>
      <c r="Y168" s="84"/>
    </row>
    <row r="169" spans="1:25" x14ac:dyDescent="0.35">
      <c r="A169" s="11">
        <v>166</v>
      </c>
      <c r="B169" s="68" t="s">
        <v>213</v>
      </c>
      <c r="C169" s="63">
        <v>54</v>
      </c>
      <c r="D169" s="63">
        <v>0</v>
      </c>
      <c r="E169" s="86">
        <v>1</v>
      </c>
      <c r="F169" s="102">
        <v>1</v>
      </c>
      <c r="G169" s="28">
        <v>0</v>
      </c>
      <c r="H169" s="86">
        <f t="shared" si="11"/>
        <v>0</v>
      </c>
      <c r="I169" s="86">
        <v>0</v>
      </c>
      <c r="J169" s="24"/>
      <c r="U169" s="10"/>
      <c r="V169" s="4"/>
      <c r="W169" s="4"/>
      <c r="X169" s="4"/>
      <c r="Y169" s="84"/>
    </row>
    <row r="170" spans="1:25" x14ac:dyDescent="0.35">
      <c r="A170" s="11">
        <v>167</v>
      </c>
      <c r="B170" s="69" t="s">
        <v>214</v>
      </c>
      <c r="C170" s="63">
        <v>30</v>
      </c>
      <c r="D170" s="63">
        <v>0</v>
      </c>
      <c r="E170" s="86">
        <v>1</v>
      </c>
      <c r="F170" s="102">
        <v>1</v>
      </c>
      <c r="G170" s="28">
        <v>0</v>
      </c>
      <c r="H170" s="86">
        <f t="shared" si="11"/>
        <v>0</v>
      </c>
      <c r="I170" s="86">
        <v>0</v>
      </c>
      <c r="J170" s="24"/>
      <c r="U170" s="10"/>
      <c r="V170" s="4"/>
      <c r="W170" s="4"/>
      <c r="X170" s="4"/>
      <c r="Y170" s="84"/>
    </row>
    <row r="171" spans="1:25" x14ac:dyDescent="0.35">
      <c r="A171" s="11">
        <v>168</v>
      </c>
      <c r="B171" s="70" t="s">
        <v>215</v>
      </c>
      <c r="C171" s="63">
        <v>18</v>
      </c>
      <c r="D171" s="63">
        <v>0</v>
      </c>
      <c r="E171" s="86">
        <v>1</v>
      </c>
      <c r="F171" s="102">
        <v>1</v>
      </c>
      <c r="G171" s="28">
        <v>1</v>
      </c>
      <c r="H171" s="86">
        <f t="shared" si="11"/>
        <v>0</v>
      </c>
      <c r="I171" s="86">
        <v>0</v>
      </c>
      <c r="J171" s="24"/>
      <c r="U171" s="10"/>
      <c r="V171" s="4"/>
      <c r="W171" s="4"/>
      <c r="X171" s="4"/>
      <c r="Y171" s="84"/>
    </row>
    <row r="172" spans="1:25" x14ac:dyDescent="0.35">
      <c r="A172" s="11">
        <v>169</v>
      </c>
      <c r="B172" s="67" t="s">
        <v>216</v>
      </c>
      <c r="C172" s="63">
        <v>32</v>
      </c>
      <c r="D172" s="63">
        <v>0</v>
      </c>
      <c r="E172" s="86">
        <v>1</v>
      </c>
      <c r="F172" s="102">
        <v>1</v>
      </c>
      <c r="G172" s="28">
        <v>0</v>
      </c>
      <c r="H172" s="86">
        <f t="shared" si="11"/>
        <v>0</v>
      </c>
      <c r="I172" s="86">
        <v>0</v>
      </c>
      <c r="J172" s="24"/>
      <c r="U172" s="10"/>
      <c r="V172" s="4"/>
      <c r="W172" s="4"/>
      <c r="X172" s="4"/>
      <c r="Y172" s="84"/>
    </row>
    <row r="173" spans="1:25" x14ac:dyDescent="0.35">
      <c r="A173" s="11">
        <v>170</v>
      </c>
      <c r="B173" s="68" t="s">
        <v>217</v>
      </c>
      <c r="C173" s="63">
        <v>19</v>
      </c>
      <c r="D173" s="63">
        <v>0</v>
      </c>
      <c r="E173" s="86">
        <v>1</v>
      </c>
      <c r="F173" s="102">
        <v>1</v>
      </c>
      <c r="G173" s="28">
        <v>0</v>
      </c>
      <c r="H173" s="86">
        <f t="shared" si="11"/>
        <v>0</v>
      </c>
      <c r="I173" s="86">
        <v>0</v>
      </c>
      <c r="J173" s="24"/>
      <c r="U173" s="10"/>
      <c r="V173" s="4"/>
      <c r="W173" s="4"/>
      <c r="X173" s="4"/>
      <c r="Y173" s="84"/>
    </row>
    <row r="174" spans="1:25" x14ac:dyDescent="0.35">
      <c r="A174" s="11">
        <v>171</v>
      </c>
      <c r="B174" s="62" t="s">
        <v>218</v>
      </c>
      <c r="C174" s="63">
        <v>55</v>
      </c>
      <c r="D174" s="63">
        <v>0</v>
      </c>
      <c r="E174" s="86">
        <v>1</v>
      </c>
      <c r="F174" s="102">
        <v>1</v>
      </c>
      <c r="G174" s="28">
        <v>0</v>
      </c>
      <c r="H174" s="86">
        <f t="shared" si="11"/>
        <v>0</v>
      </c>
      <c r="I174" s="86">
        <v>0</v>
      </c>
      <c r="J174" s="24"/>
      <c r="U174" s="10"/>
      <c r="V174" s="4"/>
      <c r="W174" s="4"/>
      <c r="X174" s="4"/>
      <c r="Y174" s="84"/>
    </row>
    <row r="175" spans="1:25" x14ac:dyDescent="0.35">
      <c r="A175" s="11"/>
      <c r="B175" s="15"/>
      <c r="C175" s="15"/>
      <c r="D175" s="15"/>
      <c r="E175" s="4"/>
      <c r="F175" s="4"/>
      <c r="G175" s="28"/>
      <c r="H175" s="4"/>
      <c r="I175" s="4"/>
      <c r="J175" s="24"/>
      <c r="U175" s="10"/>
      <c r="V175" s="4"/>
      <c r="W175" s="4"/>
      <c r="X175" s="4"/>
      <c r="Y175" s="84"/>
    </row>
    <row r="176" spans="1:25" x14ac:dyDescent="0.35">
      <c r="A176" s="11"/>
      <c r="B176" s="15"/>
      <c r="C176" s="15"/>
      <c r="D176" s="15"/>
      <c r="E176" s="4"/>
      <c r="F176" s="4"/>
      <c r="G176" s="28"/>
      <c r="H176" s="4"/>
      <c r="I176" s="4"/>
      <c r="J176" s="24"/>
      <c r="U176" s="10"/>
      <c r="V176" s="4"/>
      <c r="W176" s="4"/>
      <c r="X176" s="4"/>
      <c r="Y176" s="84"/>
    </row>
    <row r="177" spans="1:25" x14ac:dyDescent="0.35">
      <c r="A177" s="14"/>
      <c r="B177" s="15"/>
      <c r="C177" s="4"/>
      <c r="D177" s="101"/>
      <c r="E177" s="4"/>
      <c r="F177" s="4"/>
      <c r="G177" s="28"/>
      <c r="H177" s="4"/>
      <c r="I177" s="4"/>
      <c r="J177" s="24"/>
      <c r="U177" s="10"/>
      <c r="V177" s="4"/>
      <c r="W177" s="4"/>
      <c r="X177" s="4"/>
      <c r="Y177" s="84"/>
    </row>
    <row r="178" spans="1:25" x14ac:dyDescent="0.35">
      <c r="A178" s="14"/>
      <c r="B178" s="15"/>
      <c r="C178" s="4"/>
      <c r="D178" s="101"/>
      <c r="E178" s="4"/>
      <c r="F178" s="4"/>
      <c r="G178" s="28"/>
      <c r="H178" s="4"/>
      <c r="I178" s="4"/>
      <c r="J178" s="24"/>
      <c r="U178" s="10"/>
      <c r="V178" s="4"/>
      <c r="W178" s="4"/>
      <c r="X178" s="4"/>
      <c r="Y178" s="84"/>
    </row>
    <row r="179" spans="1:25" x14ac:dyDescent="0.35">
      <c r="A179" s="14"/>
      <c r="B179" s="16"/>
      <c r="C179" s="4"/>
      <c r="D179" s="101"/>
      <c r="E179" s="4"/>
      <c r="F179" s="4"/>
      <c r="G179" s="28"/>
      <c r="H179" s="4"/>
      <c r="I179" s="4"/>
      <c r="J179" s="24"/>
      <c r="U179" s="10"/>
      <c r="V179" s="4"/>
      <c r="W179" s="4"/>
      <c r="X179" s="4"/>
      <c r="Y179" s="84"/>
    </row>
    <row r="180" spans="1:25" x14ac:dyDescent="0.35">
      <c r="A180" s="14"/>
      <c r="B180" s="16"/>
      <c r="C180" s="4"/>
      <c r="D180" s="101"/>
      <c r="E180" s="4"/>
      <c r="F180" s="4"/>
      <c r="G180" s="28"/>
      <c r="H180" s="4"/>
      <c r="I180" s="4"/>
      <c r="J180" s="24"/>
      <c r="U180" s="10"/>
      <c r="V180" s="4"/>
      <c r="W180" s="4"/>
      <c r="X180" s="4"/>
      <c r="Y180" s="84"/>
    </row>
    <row r="181" spans="1:25" x14ac:dyDescent="0.35">
      <c r="A181" s="14"/>
      <c r="B181" s="16"/>
      <c r="C181" s="4"/>
      <c r="D181" s="101"/>
      <c r="E181" s="4"/>
      <c r="F181" s="4"/>
      <c r="G181" s="28"/>
      <c r="H181" s="4"/>
      <c r="I181" s="4"/>
      <c r="J181" s="24"/>
      <c r="U181" s="10"/>
      <c r="V181" s="4"/>
      <c r="W181" s="4"/>
      <c r="X181" s="4"/>
      <c r="Y181" s="84"/>
    </row>
    <row r="182" spans="1:25" x14ac:dyDescent="0.35">
      <c r="A182" s="14"/>
      <c r="B182" s="15"/>
      <c r="C182" s="4"/>
      <c r="D182" s="101"/>
      <c r="E182" s="4"/>
      <c r="F182" s="4"/>
      <c r="G182" s="28"/>
      <c r="H182" s="4"/>
      <c r="I182" s="4"/>
      <c r="J182" s="24"/>
      <c r="U182" s="10"/>
      <c r="V182" s="4"/>
      <c r="W182" s="4"/>
      <c r="X182" s="4"/>
      <c r="Y182" s="84"/>
    </row>
    <row r="183" spans="1:25" x14ac:dyDescent="0.35">
      <c r="A183" s="14"/>
      <c r="B183" s="15"/>
      <c r="C183" s="4"/>
      <c r="D183" s="101"/>
      <c r="E183" s="4"/>
      <c r="F183" s="4"/>
      <c r="G183" s="28"/>
      <c r="H183" s="4"/>
      <c r="I183" s="4"/>
      <c r="J183" s="24"/>
      <c r="U183" s="10"/>
      <c r="V183" s="4"/>
      <c r="W183" s="4"/>
      <c r="X183" s="4"/>
      <c r="Y183" s="84"/>
    </row>
    <row r="184" spans="1:25" x14ac:dyDescent="0.35">
      <c r="A184" s="14"/>
      <c r="B184" s="16"/>
      <c r="C184" s="4"/>
      <c r="D184" s="101"/>
      <c r="E184" s="4"/>
      <c r="F184" s="4"/>
      <c r="G184" s="28"/>
      <c r="H184" s="4"/>
      <c r="I184" s="4"/>
      <c r="J184" s="24"/>
      <c r="U184" s="10"/>
      <c r="V184" s="4"/>
      <c r="W184" s="4"/>
      <c r="X184" s="4"/>
      <c r="Y184" s="84"/>
    </row>
    <row r="185" spans="1:25" x14ac:dyDescent="0.35">
      <c r="A185" s="14"/>
      <c r="B185" s="16"/>
      <c r="C185" s="4"/>
      <c r="D185" s="101"/>
      <c r="E185" s="4"/>
      <c r="F185" s="4"/>
      <c r="G185" s="28"/>
      <c r="H185" s="4"/>
      <c r="I185" s="4"/>
      <c r="J185" s="24"/>
      <c r="U185" s="10"/>
      <c r="V185" s="4"/>
      <c r="W185" s="4"/>
      <c r="X185" s="4"/>
      <c r="Y185" s="84"/>
    </row>
    <row r="186" spans="1:25" x14ac:dyDescent="0.35">
      <c r="A186" s="14"/>
      <c r="B186" s="16"/>
      <c r="C186" s="4"/>
      <c r="D186" s="101"/>
      <c r="E186" s="4"/>
      <c r="F186" s="4"/>
      <c r="G186" s="28"/>
      <c r="H186" s="4"/>
      <c r="I186" s="4"/>
      <c r="J186" s="24"/>
      <c r="U186" s="10"/>
      <c r="V186" s="4"/>
      <c r="W186" s="4"/>
      <c r="X186" s="4"/>
      <c r="Y186" s="84"/>
    </row>
    <row r="187" spans="1:25" x14ac:dyDescent="0.35">
      <c r="A187" s="14"/>
      <c r="B187" s="15"/>
      <c r="C187" s="4"/>
      <c r="D187" s="101"/>
      <c r="E187" s="4"/>
      <c r="F187" s="4"/>
      <c r="G187" s="28"/>
      <c r="H187" s="4"/>
      <c r="I187" s="4"/>
      <c r="J187" s="24"/>
      <c r="U187" s="10"/>
      <c r="V187" s="4"/>
      <c r="W187" s="4"/>
      <c r="X187" s="4"/>
      <c r="Y187" s="84"/>
    </row>
    <row r="188" spans="1:25" x14ac:dyDescent="0.35">
      <c r="A188" s="14"/>
      <c r="B188" s="15"/>
      <c r="C188" s="4"/>
      <c r="D188" s="101"/>
      <c r="E188" s="4"/>
      <c r="F188" s="4"/>
      <c r="G188" s="28"/>
      <c r="H188" s="4"/>
      <c r="I188" s="4"/>
      <c r="J188" s="24"/>
      <c r="U188" s="10"/>
      <c r="V188" s="4"/>
      <c r="W188" s="4"/>
      <c r="X188" s="4"/>
      <c r="Y188" s="84"/>
    </row>
    <row r="189" spans="1:25" x14ac:dyDescent="0.35">
      <c r="A189" s="14"/>
      <c r="B189" s="16"/>
      <c r="C189" s="4"/>
      <c r="D189" s="101"/>
      <c r="E189" s="4"/>
      <c r="F189" s="4"/>
      <c r="G189" s="28"/>
      <c r="H189" s="4"/>
      <c r="I189" s="4"/>
      <c r="J189" s="24"/>
      <c r="U189" s="10"/>
      <c r="V189" s="4"/>
      <c r="W189" s="4"/>
      <c r="X189" s="4"/>
      <c r="Y189" s="84"/>
    </row>
    <row r="190" spans="1:25" x14ac:dyDescent="0.35">
      <c r="A190" s="14"/>
      <c r="B190" s="16"/>
      <c r="C190" s="4"/>
      <c r="D190" s="101"/>
      <c r="E190" s="4"/>
      <c r="F190" s="4"/>
      <c r="G190" s="28"/>
      <c r="H190" s="4"/>
      <c r="I190" s="4"/>
      <c r="J190" s="24"/>
      <c r="U190" s="10"/>
      <c r="V190" s="4"/>
      <c r="W190" s="4"/>
      <c r="X190" s="4"/>
      <c r="Y190" s="84"/>
    </row>
    <row r="191" spans="1:25" x14ac:dyDescent="0.35">
      <c r="A191" s="14"/>
      <c r="B191" s="16"/>
      <c r="C191" s="4"/>
      <c r="D191" s="101"/>
      <c r="E191" s="4"/>
      <c r="F191" s="4"/>
      <c r="G191" s="28"/>
      <c r="H191" s="4"/>
      <c r="I191" s="4"/>
      <c r="J191" s="24"/>
      <c r="U191" s="10"/>
      <c r="V191" s="4"/>
      <c r="W191" s="4"/>
      <c r="X191" s="4"/>
      <c r="Y191" s="84"/>
    </row>
    <row r="192" spans="1:25" x14ac:dyDescent="0.35">
      <c r="A192" s="14"/>
      <c r="B192" s="15"/>
      <c r="C192" s="4"/>
      <c r="D192" s="101"/>
      <c r="E192" s="4"/>
      <c r="F192" s="4"/>
      <c r="G192" s="28"/>
      <c r="H192" s="4"/>
      <c r="I192" s="4"/>
      <c r="J192" s="24"/>
      <c r="U192" s="10"/>
      <c r="V192" s="4"/>
      <c r="W192" s="4"/>
      <c r="X192" s="4"/>
      <c r="Y192" s="84"/>
    </row>
    <row r="193" spans="1:25" x14ac:dyDescent="0.35">
      <c r="A193" s="14"/>
      <c r="B193" s="15"/>
      <c r="C193" s="4"/>
      <c r="D193" s="101"/>
      <c r="E193" s="4"/>
      <c r="F193" s="4"/>
      <c r="G193" s="28"/>
      <c r="H193" s="4"/>
      <c r="I193" s="4"/>
      <c r="J193" s="24"/>
      <c r="U193" s="10"/>
      <c r="V193" s="4"/>
      <c r="W193" s="4"/>
      <c r="X193" s="4"/>
      <c r="Y193" s="84"/>
    </row>
    <row r="194" spans="1:25" x14ac:dyDescent="0.35">
      <c r="A194" s="14"/>
      <c r="B194" s="16"/>
      <c r="C194" s="4"/>
      <c r="D194" s="101"/>
      <c r="E194" s="4"/>
      <c r="F194" s="4"/>
      <c r="G194" s="28"/>
      <c r="H194" s="4"/>
      <c r="I194" s="4"/>
      <c r="J194" s="24"/>
      <c r="U194" s="10"/>
      <c r="V194" s="4"/>
      <c r="W194" s="4"/>
      <c r="X194" s="4"/>
      <c r="Y194" s="84"/>
    </row>
    <row r="195" spans="1:25" x14ac:dyDescent="0.35">
      <c r="A195" s="14"/>
      <c r="B195" s="16"/>
      <c r="C195" s="4"/>
      <c r="D195" s="101"/>
      <c r="E195" s="4"/>
      <c r="F195" s="4"/>
      <c r="G195" s="28"/>
      <c r="H195" s="4"/>
      <c r="I195" s="4"/>
      <c r="J195" s="24"/>
      <c r="U195" s="10"/>
      <c r="V195" s="4"/>
      <c r="W195" s="4"/>
      <c r="X195" s="4"/>
      <c r="Y195" s="84"/>
    </row>
    <row r="196" spans="1:25" x14ac:dyDescent="0.35">
      <c r="A196" s="14"/>
      <c r="B196" s="16"/>
      <c r="C196" s="4"/>
      <c r="D196" s="101"/>
      <c r="E196" s="4"/>
      <c r="F196" s="4"/>
      <c r="G196" s="4"/>
      <c r="H196" s="4"/>
      <c r="I196" s="4"/>
      <c r="J196" s="24"/>
      <c r="U196" s="10"/>
      <c r="V196" s="4"/>
      <c r="W196" s="4"/>
      <c r="X196" s="4"/>
      <c r="Y196" s="84"/>
    </row>
    <row r="197" spans="1:25" x14ac:dyDescent="0.35">
      <c r="A197" s="14"/>
      <c r="B197" s="15"/>
      <c r="C197" s="4"/>
      <c r="D197" s="101"/>
      <c r="E197" s="4"/>
      <c r="F197" s="4"/>
      <c r="G197" s="4"/>
      <c r="H197" s="4"/>
      <c r="I197" s="4"/>
      <c r="J197" s="24"/>
      <c r="U197" s="10"/>
      <c r="V197" s="4"/>
      <c r="W197" s="4"/>
      <c r="X197" s="4"/>
      <c r="Y197" s="84"/>
    </row>
    <row r="198" spans="1:25" x14ac:dyDescent="0.35">
      <c r="A198" s="14"/>
      <c r="B198" s="15"/>
      <c r="C198" s="4"/>
      <c r="D198" s="101"/>
      <c r="E198" s="4"/>
      <c r="F198" s="4"/>
      <c r="G198" s="4"/>
      <c r="H198" s="4"/>
      <c r="I198" s="4"/>
      <c r="J198" s="24"/>
      <c r="U198" s="10"/>
      <c r="V198" s="4"/>
      <c r="W198" s="4"/>
      <c r="X198" s="4"/>
      <c r="Y198" s="84"/>
    </row>
    <row r="199" spans="1:25" x14ac:dyDescent="0.35">
      <c r="A199" s="14"/>
      <c r="B199" s="16"/>
      <c r="C199" s="4"/>
      <c r="D199" s="101"/>
      <c r="E199" s="4"/>
      <c r="F199" s="4"/>
      <c r="G199" s="4"/>
      <c r="H199" s="4"/>
      <c r="I199" s="4"/>
      <c r="J199" s="24"/>
      <c r="U199" s="10"/>
      <c r="V199" s="4"/>
      <c r="W199" s="4"/>
      <c r="X199" s="4"/>
      <c r="Y199" s="84"/>
    </row>
    <row r="200" spans="1:25" x14ac:dyDescent="0.35">
      <c r="A200" s="14"/>
      <c r="B200" s="16"/>
      <c r="C200" s="4"/>
      <c r="D200" s="101"/>
      <c r="E200" s="4"/>
      <c r="F200" s="4"/>
      <c r="G200" s="4"/>
      <c r="H200" s="4"/>
      <c r="I200" s="4"/>
      <c r="J200" s="24"/>
      <c r="U200" s="10"/>
      <c r="V200" s="4"/>
      <c r="W200" s="4"/>
      <c r="X200" s="4"/>
      <c r="Y200" s="84"/>
    </row>
    <row r="201" spans="1:25" x14ac:dyDescent="0.35">
      <c r="A201" s="14"/>
      <c r="B201" s="16"/>
      <c r="C201" s="4"/>
      <c r="D201" s="101"/>
      <c r="E201" s="4"/>
      <c r="F201" s="4"/>
      <c r="G201" s="4"/>
      <c r="H201" s="4"/>
      <c r="I201" s="4"/>
      <c r="J201" s="24"/>
      <c r="U201" s="10"/>
      <c r="V201" s="4"/>
      <c r="W201" s="4"/>
      <c r="X201" s="4"/>
      <c r="Y201" s="84"/>
    </row>
    <row r="202" spans="1:25" x14ac:dyDescent="0.35">
      <c r="A202" s="14"/>
      <c r="B202" s="15"/>
      <c r="C202" s="4"/>
      <c r="D202" s="101"/>
      <c r="E202" s="4"/>
      <c r="F202" s="4"/>
      <c r="G202" s="4"/>
      <c r="H202" s="4"/>
      <c r="I202" s="4"/>
      <c r="J202" s="24"/>
      <c r="U202" s="10"/>
      <c r="V202" s="4"/>
      <c r="W202" s="4"/>
      <c r="X202" s="4"/>
      <c r="Y202" s="84"/>
    </row>
    <row r="203" spans="1:25" x14ac:dyDescent="0.35">
      <c r="A203" s="14"/>
      <c r="B203" s="15"/>
      <c r="C203" s="4"/>
      <c r="D203" s="101"/>
      <c r="E203" s="4"/>
      <c r="F203" s="4"/>
      <c r="G203" s="4"/>
      <c r="H203" s="4"/>
      <c r="I203" s="4"/>
      <c r="J203" s="24"/>
      <c r="U203" s="10"/>
      <c r="V203" s="4"/>
      <c r="W203" s="4"/>
      <c r="X203" s="4"/>
      <c r="Y203" s="84"/>
    </row>
    <row r="204" spans="1:25" x14ac:dyDescent="0.35">
      <c r="A204" s="10"/>
      <c r="B204" s="10"/>
      <c r="C204" s="10"/>
      <c r="D204" s="10"/>
      <c r="E204" s="10"/>
      <c r="F204" s="10"/>
      <c r="G204" s="10"/>
      <c r="H204" s="10"/>
      <c r="I204" s="10"/>
      <c r="U204" s="10"/>
      <c r="V204" s="4"/>
      <c r="W204" s="4"/>
      <c r="X204" s="4"/>
      <c r="Y204" s="84"/>
    </row>
    <row r="205" spans="1:25" x14ac:dyDescent="0.35">
      <c r="A205" s="10"/>
      <c r="B205" s="10"/>
      <c r="C205" s="10"/>
      <c r="D205" s="10"/>
      <c r="E205" s="10"/>
      <c r="F205" s="10"/>
      <c r="G205" s="10"/>
      <c r="H205" s="10"/>
      <c r="I205" s="10"/>
    </row>
    <row r="206" spans="1:25" x14ac:dyDescent="0.35">
      <c r="A206" s="10"/>
      <c r="B206" s="10"/>
      <c r="C206" s="10"/>
      <c r="D206" s="10"/>
      <c r="E206" s="10"/>
      <c r="F206" s="10"/>
      <c r="G206" s="10"/>
      <c r="H206" s="10"/>
      <c r="I206" s="10"/>
    </row>
    <row r="207" spans="1:25" x14ac:dyDescent="0.35">
      <c r="A207" s="10"/>
      <c r="B207" s="10"/>
      <c r="C207" s="10"/>
      <c r="D207" s="10"/>
      <c r="E207" s="10"/>
      <c r="F207" s="10"/>
      <c r="G207" s="10"/>
      <c r="H207" s="10"/>
      <c r="I207" s="10"/>
    </row>
    <row r="208" spans="1:25" x14ac:dyDescent="0.35">
      <c r="A208" s="10"/>
      <c r="B208" s="10"/>
      <c r="C208" s="10"/>
      <c r="D208" s="10"/>
      <c r="E208" s="10"/>
      <c r="F208" s="10"/>
      <c r="G208" s="10"/>
      <c r="H208" s="10"/>
      <c r="I208" s="10"/>
    </row>
    <row r="209" spans="1:9" x14ac:dyDescent="0.35">
      <c r="A209" s="10"/>
      <c r="B209" s="10"/>
      <c r="C209" s="10"/>
      <c r="D209" s="10"/>
      <c r="E209" s="10"/>
      <c r="F209" s="10"/>
      <c r="G209" s="10"/>
      <c r="H209" s="10"/>
      <c r="I209" s="10"/>
    </row>
    <row r="210" spans="1:9" x14ac:dyDescent="0.35">
      <c r="A210" s="10"/>
      <c r="B210" s="10"/>
      <c r="C210" s="10"/>
      <c r="D210" s="10"/>
      <c r="E210" s="10"/>
      <c r="F210" s="10"/>
      <c r="G210" s="10"/>
      <c r="H210" s="10"/>
      <c r="I210" s="10"/>
    </row>
    <row r="211" spans="1:9" x14ac:dyDescent="0.35">
      <c r="A211" s="10"/>
      <c r="B211" s="10"/>
      <c r="C211" s="10"/>
      <c r="D211" s="10"/>
      <c r="E211" s="10"/>
      <c r="F211" s="10"/>
      <c r="G211" s="10"/>
      <c r="H211" s="10"/>
      <c r="I211" s="10"/>
    </row>
    <row r="212" spans="1:9" x14ac:dyDescent="0.35">
      <c r="A212" s="10"/>
      <c r="B212" s="10"/>
      <c r="C212" s="10"/>
      <c r="D212" s="10"/>
      <c r="E212" s="10"/>
      <c r="F212" s="10"/>
      <c r="G212" s="10"/>
      <c r="H212" s="10"/>
      <c r="I212" s="10"/>
    </row>
    <row r="213" spans="1:9" x14ac:dyDescent="0.35">
      <c r="A213" s="10"/>
      <c r="B213" s="10"/>
      <c r="C213" s="10"/>
      <c r="D213" s="10"/>
      <c r="E213" s="10"/>
      <c r="F213" s="10"/>
      <c r="G213" s="10"/>
      <c r="H213" s="10"/>
      <c r="I213" s="10"/>
    </row>
    <row r="214" spans="1:9" x14ac:dyDescent="0.35">
      <c r="A214" s="10"/>
      <c r="B214" s="10"/>
      <c r="C214" s="10"/>
      <c r="D214" s="10"/>
      <c r="E214" s="10"/>
      <c r="F214" s="10"/>
      <c r="G214" s="10"/>
      <c r="H214" s="10"/>
      <c r="I214" s="10"/>
    </row>
    <row r="215" spans="1:9" x14ac:dyDescent="0.35">
      <c r="A215" s="10"/>
      <c r="B215" s="10"/>
      <c r="C215" s="10"/>
      <c r="D215" s="10"/>
      <c r="E215" s="10"/>
      <c r="F215" s="10"/>
      <c r="G215" s="10"/>
      <c r="H215" s="10"/>
      <c r="I215" s="10"/>
    </row>
    <row r="216" spans="1:9" x14ac:dyDescent="0.35">
      <c r="A216" s="10"/>
      <c r="B216" s="10"/>
      <c r="C216" s="10"/>
      <c r="D216" s="10"/>
      <c r="E216" s="10"/>
      <c r="F216" s="10"/>
      <c r="G216" s="10"/>
      <c r="H216" s="10"/>
      <c r="I216" s="10"/>
    </row>
    <row r="217" spans="1:9" x14ac:dyDescent="0.35">
      <c r="A217" s="10"/>
      <c r="B217" s="10"/>
      <c r="C217" s="10"/>
      <c r="D217" s="10"/>
      <c r="E217" s="10"/>
      <c r="F217" s="10"/>
      <c r="G217" s="10"/>
      <c r="H217" s="10"/>
      <c r="I217" s="10"/>
    </row>
    <row r="218" spans="1:9" x14ac:dyDescent="0.35">
      <c r="A218" s="10"/>
      <c r="B218" s="10"/>
      <c r="C218" s="10"/>
      <c r="D218" s="10"/>
      <c r="E218" s="10"/>
      <c r="F218" s="10"/>
      <c r="G218" s="10"/>
      <c r="H218" s="10"/>
      <c r="I218" s="10"/>
    </row>
    <row r="219" spans="1:9" x14ac:dyDescent="0.35">
      <c r="A219" s="10"/>
      <c r="B219" s="10"/>
      <c r="C219" s="10"/>
      <c r="D219" s="10"/>
      <c r="E219" s="10"/>
      <c r="F219" s="10"/>
      <c r="G219" s="10"/>
      <c r="H219" s="10"/>
      <c r="I219" s="10"/>
    </row>
    <row r="220" spans="1:9" x14ac:dyDescent="0.35">
      <c r="A220" s="10"/>
      <c r="B220" s="10"/>
      <c r="C220" s="10"/>
      <c r="D220" s="10"/>
      <c r="E220" s="10"/>
      <c r="F220" s="10"/>
      <c r="G220" s="10"/>
      <c r="H220" s="10"/>
      <c r="I220" s="10"/>
    </row>
    <row r="221" spans="1:9" x14ac:dyDescent="0.35">
      <c r="A221" s="10"/>
      <c r="B221" s="10"/>
      <c r="C221" s="10"/>
      <c r="D221" s="10"/>
      <c r="E221" s="10"/>
      <c r="F221" s="10"/>
      <c r="G221" s="10"/>
      <c r="H221" s="10"/>
      <c r="I221" s="10"/>
    </row>
    <row r="222" spans="1:9" x14ac:dyDescent="0.35">
      <c r="A222" s="10"/>
      <c r="B222" s="10"/>
      <c r="C222" s="10"/>
      <c r="D222" s="10"/>
      <c r="E222" s="10"/>
      <c r="F222" s="10"/>
      <c r="G222" s="10"/>
      <c r="H222" s="10"/>
      <c r="I222" s="10"/>
    </row>
    <row r="223" spans="1:9" x14ac:dyDescent="0.35">
      <c r="A223" s="10"/>
      <c r="B223" s="10"/>
      <c r="C223" s="10"/>
      <c r="D223" s="10"/>
      <c r="E223" s="10"/>
      <c r="F223" s="10"/>
      <c r="G223" s="10"/>
      <c r="H223" s="10"/>
      <c r="I223" s="10"/>
    </row>
    <row r="224" spans="1:9" x14ac:dyDescent="0.35">
      <c r="A224" s="10"/>
      <c r="B224" s="10"/>
      <c r="C224" s="10"/>
      <c r="D224" s="10"/>
      <c r="E224" s="10"/>
      <c r="F224" s="10"/>
      <c r="G224" s="10"/>
      <c r="H224" s="10"/>
      <c r="I224" s="10"/>
    </row>
    <row r="225" spans="1:9" x14ac:dyDescent="0.35">
      <c r="A225" s="10"/>
      <c r="B225" s="10"/>
      <c r="C225" s="10"/>
      <c r="D225" s="10"/>
      <c r="E225" s="10"/>
      <c r="F225" s="10"/>
      <c r="G225" s="10"/>
      <c r="H225" s="10"/>
      <c r="I225" s="10"/>
    </row>
    <row r="226" spans="1:9" x14ac:dyDescent="0.35">
      <c r="A226" s="10"/>
      <c r="B226" s="10"/>
      <c r="C226" s="10"/>
      <c r="D226" s="10"/>
      <c r="E226" s="10"/>
      <c r="F226" s="10"/>
      <c r="G226" s="10"/>
      <c r="H226" s="10"/>
      <c r="I226" s="10"/>
    </row>
    <row r="227" spans="1:9" x14ac:dyDescent="0.35">
      <c r="A227" s="10"/>
      <c r="B227" s="10"/>
      <c r="C227" s="10"/>
      <c r="D227" s="10"/>
      <c r="E227" s="10"/>
      <c r="F227" s="10"/>
      <c r="G227" s="10"/>
      <c r="H227" s="10"/>
      <c r="I227" s="10"/>
    </row>
    <row r="228" spans="1:9" x14ac:dyDescent="0.35">
      <c r="A228" s="10"/>
      <c r="B228" s="10"/>
      <c r="C228" s="10"/>
      <c r="D228" s="10"/>
      <c r="E228" s="10"/>
      <c r="F228" s="10"/>
      <c r="G228" s="10"/>
      <c r="H228" s="10"/>
      <c r="I228" s="10"/>
    </row>
    <row r="229" spans="1:9" x14ac:dyDescent="0.35">
      <c r="A229" s="10"/>
      <c r="B229" s="10"/>
      <c r="C229" s="10"/>
      <c r="D229" s="10"/>
      <c r="E229" s="10"/>
      <c r="F229" s="10"/>
      <c r="G229" s="10"/>
      <c r="H229" s="10"/>
      <c r="I229" s="10"/>
    </row>
    <row r="230" spans="1:9" x14ac:dyDescent="0.35">
      <c r="A230" s="10"/>
      <c r="B230" s="10"/>
      <c r="C230" s="10"/>
      <c r="D230" s="10"/>
      <c r="E230" s="10"/>
      <c r="F230" s="10"/>
      <c r="G230" s="10"/>
      <c r="H230" s="10"/>
      <c r="I230" s="10"/>
    </row>
    <row r="231" spans="1:9" x14ac:dyDescent="0.35">
      <c r="A231" s="10"/>
      <c r="B231" s="10"/>
      <c r="C231" s="10"/>
      <c r="D231" s="10"/>
      <c r="E231" s="10"/>
      <c r="F231" s="10"/>
      <c r="G231" s="10"/>
      <c r="H231" s="10"/>
      <c r="I231" s="10"/>
    </row>
    <row r="232" spans="1:9" x14ac:dyDescent="0.35">
      <c r="A232" s="10"/>
      <c r="B232" s="10"/>
      <c r="C232" s="10"/>
      <c r="D232" s="10"/>
      <c r="E232" s="10"/>
      <c r="F232" s="10"/>
      <c r="G232" s="10"/>
      <c r="H232" s="10"/>
      <c r="I232" s="10"/>
    </row>
    <row r="233" spans="1:9" x14ac:dyDescent="0.35">
      <c r="A233" s="10"/>
      <c r="B233" s="10"/>
      <c r="C233" s="10"/>
      <c r="D233" s="10"/>
      <c r="E233" s="10"/>
      <c r="F233" s="10"/>
      <c r="G233" s="10"/>
      <c r="H233" s="10"/>
      <c r="I233" s="10"/>
    </row>
    <row r="234" spans="1:9" x14ac:dyDescent="0.35">
      <c r="A234" s="10"/>
      <c r="B234" s="10"/>
      <c r="C234" s="10"/>
      <c r="D234" s="10"/>
      <c r="E234" s="10"/>
      <c r="F234" s="10"/>
      <c r="G234" s="10"/>
      <c r="H234" s="10"/>
      <c r="I234" s="10"/>
    </row>
    <row r="235" spans="1:9" x14ac:dyDescent="0.35">
      <c r="A235" s="10"/>
      <c r="B235" s="10"/>
      <c r="C235" s="10"/>
      <c r="D235" s="10"/>
      <c r="E235" s="10"/>
      <c r="F235" s="10"/>
      <c r="G235" s="10"/>
      <c r="H235" s="10"/>
      <c r="I235" s="10"/>
    </row>
    <row r="236" spans="1:9" x14ac:dyDescent="0.35">
      <c r="A236" s="10"/>
      <c r="B236" s="10"/>
      <c r="C236" s="10"/>
      <c r="D236" s="10"/>
      <c r="E236" s="10"/>
      <c r="F236" s="10"/>
      <c r="G236" s="10"/>
      <c r="H236" s="10"/>
      <c r="I236" s="10"/>
    </row>
    <row r="237" spans="1:9" x14ac:dyDescent="0.35">
      <c r="A237" s="10"/>
      <c r="B237" s="10"/>
      <c r="C237" s="10"/>
      <c r="D237" s="10"/>
      <c r="E237" s="10"/>
      <c r="F237" s="10"/>
      <c r="G237" s="10"/>
      <c r="H237" s="10"/>
      <c r="I237" s="10"/>
    </row>
    <row r="238" spans="1:9" x14ac:dyDescent="0.35">
      <c r="A238" s="10"/>
      <c r="B238" s="10"/>
      <c r="C238" s="10"/>
      <c r="D238" s="10"/>
      <c r="E238" s="10"/>
      <c r="F238" s="10"/>
      <c r="G238" s="10"/>
      <c r="H238" s="10"/>
      <c r="I238" s="10"/>
    </row>
    <row r="239" spans="1:9" x14ac:dyDescent="0.35">
      <c r="A239" s="10"/>
      <c r="B239" s="10"/>
      <c r="C239" s="10"/>
      <c r="D239" s="10"/>
      <c r="E239" s="10"/>
      <c r="F239" s="10"/>
      <c r="G239" s="10"/>
      <c r="H239" s="10"/>
      <c r="I239" s="10"/>
    </row>
    <row r="240" spans="1:9" x14ac:dyDescent="0.35">
      <c r="A240" s="10"/>
      <c r="B240" s="10"/>
      <c r="C240" s="10"/>
      <c r="D240" s="10"/>
      <c r="E240" s="10"/>
      <c r="F240" s="10"/>
      <c r="G240" s="10"/>
      <c r="H240" s="10"/>
      <c r="I240" s="10"/>
    </row>
    <row r="241" spans="1:9" x14ac:dyDescent="0.35">
      <c r="A241" s="10"/>
      <c r="B241" s="10"/>
      <c r="C241" s="10"/>
      <c r="D241" s="10"/>
      <c r="E241" s="10"/>
      <c r="F241" s="10"/>
      <c r="G241" s="10"/>
      <c r="H241" s="10"/>
      <c r="I241" s="10"/>
    </row>
    <row r="242" spans="1:9" x14ac:dyDescent="0.35">
      <c r="A242" s="10"/>
      <c r="B242" s="10"/>
      <c r="C242" s="10"/>
      <c r="D242" s="10"/>
      <c r="E242" s="10"/>
      <c r="F242" s="10"/>
      <c r="G242" s="10"/>
      <c r="H242" s="10"/>
      <c r="I242" s="10"/>
    </row>
    <row r="243" spans="1:9" x14ac:dyDescent="0.35">
      <c r="A243" s="10"/>
      <c r="B243" s="10"/>
      <c r="C243" s="10"/>
      <c r="D243" s="10"/>
      <c r="E243" s="10"/>
      <c r="F243" s="10"/>
      <c r="G243" s="10"/>
      <c r="H243" s="10"/>
      <c r="I243" s="10"/>
    </row>
    <row r="244" spans="1:9" x14ac:dyDescent="0.35">
      <c r="A244" s="10"/>
      <c r="B244" s="10"/>
      <c r="C244" s="10"/>
      <c r="D244" s="10"/>
      <c r="E244" s="10"/>
      <c r="F244" s="10"/>
      <c r="G244" s="10"/>
      <c r="H244" s="10"/>
      <c r="I244" s="10"/>
    </row>
    <row r="245" spans="1:9" x14ac:dyDescent="0.35">
      <c r="A245" s="10"/>
      <c r="B245" s="10"/>
      <c r="C245" s="10"/>
      <c r="D245" s="10"/>
      <c r="E245" s="10"/>
      <c r="F245" s="10"/>
      <c r="G245" s="10"/>
      <c r="H245" s="10"/>
      <c r="I245" s="10"/>
    </row>
    <row r="246" spans="1:9" x14ac:dyDescent="0.35">
      <c r="A246" s="10"/>
      <c r="B246" s="10"/>
      <c r="C246" s="10"/>
      <c r="D246" s="10"/>
      <c r="E246" s="10"/>
      <c r="F246" s="10"/>
      <c r="G246" s="10"/>
      <c r="H246" s="10"/>
      <c r="I246" s="10"/>
    </row>
    <row r="247" spans="1:9" x14ac:dyDescent="0.35">
      <c r="A247" s="10"/>
      <c r="B247" s="10"/>
      <c r="C247" s="10"/>
      <c r="D247" s="10"/>
      <c r="E247" s="10"/>
      <c r="F247" s="10"/>
      <c r="G247" s="10"/>
      <c r="H247" s="10"/>
      <c r="I247" s="10"/>
    </row>
    <row r="248" spans="1:9" x14ac:dyDescent="0.35">
      <c r="A248" s="10"/>
      <c r="B248" s="10"/>
      <c r="C248" s="10"/>
      <c r="D248" s="10"/>
      <c r="E248" s="10"/>
      <c r="F248" s="10"/>
      <c r="G248" s="10"/>
      <c r="H248" s="10"/>
      <c r="I248" s="10"/>
    </row>
    <row r="249" spans="1:9" x14ac:dyDescent="0.35">
      <c r="A249" s="10"/>
      <c r="B249" s="10"/>
      <c r="C249" s="10"/>
      <c r="D249" s="10"/>
      <c r="E249" s="10"/>
      <c r="F249" s="10"/>
      <c r="G249" s="10"/>
      <c r="H249" s="10"/>
      <c r="I249" s="10"/>
    </row>
    <row r="250" spans="1:9" x14ac:dyDescent="0.35">
      <c r="A250" s="10"/>
      <c r="B250" s="10"/>
      <c r="C250" s="10"/>
      <c r="D250" s="10"/>
      <c r="E250" s="10"/>
      <c r="F250" s="10"/>
      <c r="G250" s="10"/>
      <c r="H250" s="10"/>
      <c r="I250" s="10"/>
    </row>
    <row r="251" spans="1:9" x14ac:dyDescent="0.35">
      <c r="A251"/>
      <c r="B251"/>
    </row>
    <row r="252" spans="1:9" x14ac:dyDescent="0.35">
      <c r="A252"/>
      <c r="B252"/>
    </row>
    <row r="253" spans="1:9" x14ac:dyDescent="0.35">
      <c r="A253"/>
      <c r="B253"/>
    </row>
    <row r="254" spans="1:9" x14ac:dyDescent="0.35">
      <c r="A254"/>
      <c r="B254"/>
    </row>
    <row r="255" spans="1:9" x14ac:dyDescent="0.35">
      <c r="A255"/>
      <c r="B255"/>
    </row>
    <row r="256" spans="1:9" x14ac:dyDescent="0.35">
      <c r="A256"/>
      <c r="B256"/>
    </row>
    <row r="257" spans="1:2" x14ac:dyDescent="0.35">
      <c r="A257"/>
      <c r="B257"/>
    </row>
    <row r="258" spans="1:2" x14ac:dyDescent="0.35">
      <c r="A258"/>
      <c r="B258"/>
    </row>
    <row r="259" spans="1:2" x14ac:dyDescent="0.35">
      <c r="A259"/>
      <c r="B259"/>
    </row>
    <row r="260" spans="1:2" x14ac:dyDescent="0.35">
      <c r="A260"/>
      <c r="B260"/>
    </row>
    <row r="261" spans="1:2" x14ac:dyDescent="0.35">
      <c r="A261"/>
      <c r="B261"/>
    </row>
    <row r="262" spans="1:2" x14ac:dyDescent="0.35">
      <c r="A262"/>
      <c r="B262"/>
    </row>
    <row r="263" spans="1:2" x14ac:dyDescent="0.35">
      <c r="A263"/>
      <c r="B263"/>
    </row>
    <row r="264" spans="1:2" x14ac:dyDescent="0.35">
      <c r="A264"/>
      <c r="B264"/>
    </row>
    <row r="265" spans="1:2" x14ac:dyDescent="0.35">
      <c r="A265"/>
      <c r="B265"/>
    </row>
    <row r="266" spans="1:2" x14ac:dyDescent="0.35">
      <c r="A266"/>
      <c r="B266"/>
    </row>
    <row r="267" spans="1:2" x14ac:dyDescent="0.35">
      <c r="A267"/>
      <c r="B267"/>
    </row>
    <row r="268" spans="1:2" x14ac:dyDescent="0.35">
      <c r="A268"/>
      <c r="B268"/>
    </row>
    <row r="269" spans="1:2" x14ac:dyDescent="0.35">
      <c r="A269"/>
      <c r="B269"/>
    </row>
    <row r="270" spans="1:2" x14ac:dyDescent="0.35">
      <c r="A270"/>
      <c r="B270"/>
    </row>
    <row r="271" spans="1:2" x14ac:dyDescent="0.35">
      <c r="A271"/>
      <c r="B271"/>
    </row>
    <row r="272" spans="1:2" x14ac:dyDescent="0.35">
      <c r="A272"/>
      <c r="B272"/>
    </row>
    <row r="273" spans="1:2" x14ac:dyDescent="0.35">
      <c r="A273"/>
      <c r="B273"/>
    </row>
    <row r="274" spans="1:2" x14ac:dyDescent="0.35">
      <c r="A274"/>
      <c r="B274"/>
    </row>
    <row r="275" spans="1:2" x14ac:dyDescent="0.35">
      <c r="A275"/>
      <c r="B275"/>
    </row>
    <row r="276" spans="1:2" x14ac:dyDescent="0.35">
      <c r="A276"/>
      <c r="B276"/>
    </row>
    <row r="277" spans="1:2" x14ac:dyDescent="0.35">
      <c r="A277"/>
      <c r="B277"/>
    </row>
    <row r="278" spans="1:2" x14ac:dyDescent="0.35">
      <c r="A278"/>
      <c r="B278"/>
    </row>
    <row r="279" spans="1:2" x14ac:dyDescent="0.35">
      <c r="A279"/>
      <c r="B279"/>
    </row>
    <row r="280" spans="1:2" x14ac:dyDescent="0.35">
      <c r="A280"/>
      <c r="B280"/>
    </row>
    <row r="281" spans="1:2" x14ac:dyDescent="0.35">
      <c r="A281"/>
      <c r="B281"/>
    </row>
    <row r="282" spans="1:2" x14ac:dyDescent="0.35">
      <c r="A282"/>
      <c r="B282"/>
    </row>
    <row r="283" spans="1:2" x14ac:dyDescent="0.35">
      <c r="A283"/>
      <c r="B283"/>
    </row>
    <row r="284" spans="1:2" x14ac:dyDescent="0.35">
      <c r="A284"/>
      <c r="B284"/>
    </row>
    <row r="285" spans="1:2" x14ac:dyDescent="0.35">
      <c r="A285"/>
      <c r="B285"/>
    </row>
    <row r="286" spans="1:2" x14ac:dyDescent="0.35">
      <c r="A286"/>
      <c r="B286"/>
    </row>
    <row r="287" spans="1:2" x14ac:dyDescent="0.35">
      <c r="A287"/>
      <c r="B287"/>
    </row>
    <row r="288" spans="1:2" x14ac:dyDescent="0.35">
      <c r="A288"/>
      <c r="B288"/>
    </row>
  </sheetData>
  <sortState ref="A5:C174">
    <sortCondition ref="A4:A174"/>
  </sortState>
  <mergeCells count="15">
    <mergeCell ref="AZ2:AZ3"/>
    <mergeCell ref="K15:K18"/>
    <mergeCell ref="K4:K14"/>
    <mergeCell ref="A2:A3"/>
    <mergeCell ref="L2:L3"/>
    <mergeCell ref="AB2:AC2"/>
    <mergeCell ref="V1:Y1"/>
    <mergeCell ref="Q1:R1"/>
    <mergeCell ref="AQ1:AR1"/>
    <mergeCell ref="AT1:AU1"/>
    <mergeCell ref="AW1:AX1"/>
    <mergeCell ref="AE1:AF1"/>
    <mergeCell ref="AH1:AI1"/>
    <mergeCell ref="AK1:AL1"/>
    <mergeCell ref="AN1:AO1"/>
  </mergeCells>
  <hyperlinks>
    <hyperlink ref="B166" r:id="rId1" display="http://egitimdeyapilanma.istanbul.edu.tr/izlence.php?id=26533"/>
  </hyperlinks>
  <pageMargins left="0.7" right="0.7" top="0.75" bottom="0.75" header="0.3" footer="0.3"/>
  <pageSetup paperSize="9" scale="11" orientation="landscape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253"/>
  <sheetViews>
    <sheetView zoomScaleNormal="100" workbookViewId="0">
      <selection activeCell="F2" sqref="F2:H2"/>
    </sheetView>
  </sheetViews>
  <sheetFormatPr defaultRowHeight="14.5" x14ac:dyDescent="0.35"/>
  <cols>
    <col min="1" max="1" width="3.54296875" bestFit="1" customWidth="1"/>
    <col min="2" max="2" width="22.453125" bestFit="1" customWidth="1"/>
    <col min="4" max="4" width="16.453125" bestFit="1" customWidth="1"/>
    <col min="6" max="6" width="3" bestFit="1" customWidth="1"/>
    <col min="10" max="10" width="5.1796875" bestFit="1" customWidth="1"/>
    <col min="11" max="11" width="13.26953125" bestFit="1" customWidth="1"/>
    <col min="14" max="22" width="2" bestFit="1" customWidth="1"/>
    <col min="23" max="28" width="3" bestFit="1" customWidth="1"/>
    <col min="29" max="29" width="4.1796875" customWidth="1"/>
    <col min="30" max="30" width="8.7265625" bestFit="1" customWidth="1"/>
    <col min="31" max="39" width="2" bestFit="1" customWidth="1"/>
    <col min="40" max="45" width="3" bestFit="1" customWidth="1"/>
    <col min="48" max="48" width="50.453125" bestFit="1" customWidth="1"/>
    <col min="50" max="50" width="11.453125" bestFit="1" customWidth="1"/>
  </cols>
  <sheetData>
    <row r="1" spans="1:60" x14ac:dyDescent="0.35">
      <c r="A1" s="168" t="s">
        <v>278</v>
      </c>
      <c r="B1" s="168"/>
      <c r="C1" t="e">
        <f>#REF!*2</f>
        <v>#REF!</v>
      </c>
      <c r="D1">
        <v>15</v>
      </c>
      <c r="AU1" s="170" t="s">
        <v>292</v>
      </c>
      <c r="AV1" s="171"/>
      <c r="AW1" s="171"/>
      <c r="AX1" s="172"/>
      <c r="AZ1" s="160" t="s">
        <v>307</v>
      </c>
      <c r="BA1" s="160"/>
      <c r="BB1" s="160"/>
    </row>
    <row r="2" spans="1:60" x14ac:dyDescent="0.35">
      <c r="A2" s="90" t="s">
        <v>248</v>
      </c>
      <c r="B2" s="90" t="s">
        <v>280</v>
      </c>
      <c r="C2" s="90" t="s">
        <v>279</v>
      </c>
      <c r="D2" s="90" t="s">
        <v>278</v>
      </c>
      <c r="F2" s="160" t="s">
        <v>303</v>
      </c>
      <c r="G2" s="160"/>
      <c r="H2" s="160"/>
      <c r="J2" s="169" t="s">
        <v>281</v>
      </c>
      <c r="K2" s="169"/>
      <c r="M2" s="169" t="s">
        <v>290</v>
      </c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D2" s="169" t="s">
        <v>291</v>
      </c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U2" s="173" t="s">
        <v>248</v>
      </c>
      <c r="AV2" s="91" t="s">
        <v>293</v>
      </c>
      <c r="AW2" s="91" t="s">
        <v>294</v>
      </c>
      <c r="AX2" s="97" t="s">
        <v>295</v>
      </c>
      <c r="AZ2" s="10"/>
      <c r="BA2" s="112" t="s">
        <v>240</v>
      </c>
      <c r="BB2" s="112" t="s">
        <v>306</v>
      </c>
      <c r="BD2" s="10"/>
      <c r="BE2" s="91" t="s">
        <v>304</v>
      </c>
      <c r="BF2" s="91" t="s">
        <v>305</v>
      </c>
      <c r="BG2" s="91" t="s">
        <v>240</v>
      </c>
      <c r="BH2" s="91" t="s">
        <v>306</v>
      </c>
    </row>
    <row r="3" spans="1:60" ht="15" thickBot="1" x14ac:dyDescent="0.4">
      <c r="A3" s="90"/>
      <c r="B3" s="91">
        <v>1</v>
      </c>
      <c r="C3" s="91">
        <v>2</v>
      </c>
      <c r="D3" s="91">
        <v>3</v>
      </c>
      <c r="F3" s="10"/>
      <c r="G3" s="112">
        <v>1</v>
      </c>
      <c r="H3" s="112">
        <v>2</v>
      </c>
      <c r="J3" s="90" t="s">
        <v>276</v>
      </c>
      <c r="K3" s="90" t="s">
        <v>277</v>
      </c>
      <c r="M3" s="90" t="s">
        <v>289</v>
      </c>
      <c r="N3" s="90">
        <v>1</v>
      </c>
      <c r="O3" s="90">
        <v>2</v>
      </c>
      <c r="P3" s="90">
        <v>3</v>
      </c>
      <c r="Q3" s="90">
        <v>4</v>
      </c>
      <c r="R3" s="90">
        <v>5</v>
      </c>
      <c r="S3" s="90">
        <v>6</v>
      </c>
      <c r="T3" s="90">
        <v>7</v>
      </c>
      <c r="U3" s="90">
        <v>8</v>
      </c>
      <c r="V3" s="90"/>
      <c r="W3" s="90"/>
      <c r="X3" s="90"/>
      <c r="Y3" s="90"/>
      <c r="Z3" s="90"/>
      <c r="AA3" s="90"/>
      <c r="AB3" s="90"/>
      <c r="AD3" s="90" t="s">
        <v>289</v>
      </c>
      <c r="AE3" s="90">
        <v>1</v>
      </c>
      <c r="AF3" s="90">
        <v>2</v>
      </c>
      <c r="AG3" s="90">
        <v>3</v>
      </c>
      <c r="AH3" s="90">
        <v>4</v>
      </c>
      <c r="AI3" s="90">
        <v>5</v>
      </c>
      <c r="AJ3" s="90">
        <v>6</v>
      </c>
      <c r="AK3" s="90">
        <v>7</v>
      </c>
      <c r="AL3" s="90">
        <v>8</v>
      </c>
      <c r="AM3" s="90"/>
      <c r="AN3" s="90"/>
      <c r="AO3" s="90"/>
      <c r="AP3" s="90"/>
      <c r="AQ3" s="90"/>
      <c r="AR3" s="90"/>
      <c r="AS3" s="90"/>
      <c r="AU3" s="174"/>
      <c r="AV3" s="98">
        <v>1</v>
      </c>
      <c r="AW3" s="98">
        <v>2</v>
      </c>
      <c r="AX3" s="99">
        <v>3</v>
      </c>
      <c r="AZ3" s="10"/>
      <c r="BA3" s="112">
        <v>1</v>
      </c>
      <c r="BB3" s="112">
        <v>2</v>
      </c>
      <c r="BD3" s="10"/>
      <c r="BE3" s="91">
        <v>1</v>
      </c>
      <c r="BF3" s="91">
        <v>2</v>
      </c>
      <c r="BG3" s="91">
        <v>3</v>
      </c>
      <c r="BH3" s="91">
        <v>4</v>
      </c>
    </row>
    <row r="4" spans="1:60" x14ac:dyDescent="0.35">
      <c r="A4" s="10">
        <v>1</v>
      </c>
      <c r="B4" s="10" t="s">
        <v>249</v>
      </c>
      <c r="C4" s="5">
        <v>1</v>
      </c>
      <c r="D4" s="5">
        <v>16</v>
      </c>
      <c r="F4" s="10">
        <v>1</v>
      </c>
      <c r="G4" s="5">
        <v>1</v>
      </c>
      <c r="H4" s="5">
        <v>91</v>
      </c>
      <c r="J4" s="5">
        <v>1</v>
      </c>
      <c r="K4" s="5">
        <v>1</v>
      </c>
      <c r="M4" s="10">
        <v>1</v>
      </c>
      <c r="N4" s="10">
        <v>1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/>
      <c r="W4" s="10"/>
      <c r="X4" s="10"/>
      <c r="Y4" s="10"/>
      <c r="Z4" s="10"/>
      <c r="AA4" s="10"/>
      <c r="AB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U4" s="93">
        <v>1</v>
      </c>
      <c r="AV4" s="94" t="s">
        <v>49</v>
      </c>
      <c r="AW4" s="95">
        <v>70</v>
      </c>
      <c r="AX4" s="96">
        <v>1</v>
      </c>
      <c r="AZ4" s="112">
        <v>1</v>
      </c>
      <c r="BA4" s="5">
        <v>4</v>
      </c>
      <c r="BB4" s="5">
        <v>6</v>
      </c>
      <c r="BD4" s="10">
        <v>1</v>
      </c>
      <c r="BE4" s="10">
        <v>1</v>
      </c>
      <c r="BF4" s="10">
        <v>3</v>
      </c>
      <c r="BG4" s="10">
        <v>4</v>
      </c>
      <c r="BH4" s="10">
        <v>6</v>
      </c>
    </row>
    <row r="5" spans="1:60" x14ac:dyDescent="0.35">
      <c r="A5" s="10">
        <v>2</v>
      </c>
      <c r="B5" s="10" t="s">
        <v>250</v>
      </c>
      <c r="C5" s="5">
        <v>1</v>
      </c>
      <c r="D5" s="5">
        <v>16</v>
      </c>
      <c r="F5" s="10">
        <v>2</v>
      </c>
      <c r="G5" s="5">
        <v>1</v>
      </c>
      <c r="H5" s="5">
        <v>150</v>
      </c>
      <c r="J5" s="5">
        <v>2</v>
      </c>
      <c r="K5" s="5">
        <v>2</v>
      </c>
      <c r="M5" s="10">
        <v>2</v>
      </c>
      <c r="N5" s="10">
        <v>0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/>
      <c r="W5" s="10"/>
      <c r="X5" s="10"/>
      <c r="Y5" s="10"/>
      <c r="Z5" s="10"/>
      <c r="AA5" s="10"/>
      <c r="AB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U5" s="11">
        <v>2</v>
      </c>
      <c r="AV5" s="31" t="s">
        <v>50</v>
      </c>
      <c r="AW5" s="30">
        <v>71</v>
      </c>
      <c r="AX5" s="92">
        <v>2</v>
      </c>
      <c r="AZ5" s="112">
        <v>2</v>
      </c>
      <c r="BA5" s="5">
        <v>7</v>
      </c>
      <c r="BB5" s="5">
        <v>7</v>
      </c>
      <c r="BD5" s="10">
        <v>2</v>
      </c>
      <c r="BE5" s="10">
        <v>1</v>
      </c>
      <c r="BF5" s="10">
        <v>4</v>
      </c>
      <c r="BG5" s="10">
        <v>4</v>
      </c>
      <c r="BH5" s="10">
        <v>6</v>
      </c>
    </row>
    <row r="6" spans="1:60" x14ac:dyDescent="0.35">
      <c r="A6" s="10">
        <v>3</v>
      </c>
      <c r="B6" s="10" t="s">
        <v>251</v>
      </c>
      <c r="C6" s="5">
        <v>1</v>
      </c>
      <c r="D6" s="5">
        <v>16</v>
      </c>
      <c r="F6" s="10">
        <v>3</v>
      </c>
      <c r="G6" s="5">
        <v>1</v>
      </c>
      <c r="H6" s="5">
        <v>13</v>
      </c>
      <c r="J6" s="5">
        <v>3</v>
      </c>
      <c r="K6" s="5">
        <v>3</v>
      </c>
      <c r="M6" s="10">
        <v>3</v>
      </c>
      <c r="N6" s="10">
        <v>0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/>
      <c r="W6" s="10"/>
      <c r="X6" s="10"/>
      <c r="Y6" s="10"/>
      <c r="Z6" s="10"/>
      <c r="AA6" s="10"/>
      <c r="AB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U6" s="11">
        <v>3</v>
      </c>
      <c r="AV6" s="32" t="s">
        <v>51</v>
      </c>
      <c r="AW6" s="30">
        <v>71</v>
      </c>
      <c r="AX6" s="92">
        <v>1</v>
      </c>
      <c r="AZ6" s="112">
        <v>3</v>
      </c>
      <c r="BA6" s="5">
        <v>1</v>
      </c>
      <c r="BB6" s="5">
        <v>5</v>
      </c>
      <c r="BD6" s="10">
        <v>3</v>
      </c>
      <c r="BE6" s="10">
        <v>2</v>
      </c>
      <c r="BF6" s="10">
        <v>2</v>
      </c>
      <c r="BG6" s="10">
        <v>7</v>
      </c>
      <c r="BH6" s="10">
        <v>7</v>
      </c>
    </row>
    <row r="7" spans="1:60" x14ac:dyDescent="0.35">
      <c r="A7" s="10">
        <v>4</v>
      </c>
      <c r="B7" s="10" t="s">
        <v>252</v>
      </c>
      <c r="C7" s="5">
        <v>1</v>
      </c>
      <c r="D7" s="5">
        <v>16</v>
      </c>
      <c r="F7" s="10"/>
      <c r="G7" s="5"/>
      <c r="H7" s="5"/>
      <c r="J7" s="5">
        <v>4</v>
      </c>
      <c r="K7" s="5">
        <v>4</v>
      </c>
      <c r="M7" s="10">
        <v>4</v>
      </c>
      <c r="N7" s="10">
        <v>0</v>
      </c>
      <c r="O7" s="10">
        <v>0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/>
      <c r="W7" s="10"/>
      <c r="X7" s="10"/>
      <c r="Y7" s="10"/>
      <c r="Z7" s="10"/>
      <c r="AA7" s="10"/>
      <c r="AB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U7" s="11">
        <v>4</v>
      </c>
      <c r="AV7" s="31" t="s">
        <v>52</v>
      </c>
      <c r="AW7" s="30">
        <v>75</v>
      </c>
      <c r="AX7" s="92">
        <v>1</v>
      </c>
      <c r="AZ7" s="112">
        <v>4</v>
      </c>
      <c r="BA7" s="5">
        <v>1</v>
      </c>
      <c r="BB7" s="5">
        <v>7</v>
      </c>
      <c r="BD7" s="10">
        <v>4</v>
      </c>
      <c r="BE7" s="10">
        <v>2</v>
      </c>
      <c r="BF7" s="10">
        <v>4</v>
      </c>
      <c r="BG7" s="10">
        <v>7</v>
      </c>
      <c r="BH7" s="10">
        <v>7</v>
      </c>
    </row>
    <row r="8" spans="1:60" x14ac:dyDescent="0.35">
      <c r="A8" s="10">
        <v>5</v>
      </c>
      <c r="B8" s="10" t="s">
        <v>253</v>
      </c>
      <c r="C8" s="5">
        <v>1</v>
      </c>
      <c r="D8" s="5">
        <v>16</v>
      </c>
      <c r="F8" s="10"/>
      <c r="G8" s="5"/>
      <c r="H8" s="5"/>
      <c r="J8" s="5">
        <v>5</v>
      </c>
      <c r="K8" s="5">
        <v>5</v>
      </c>
      <c r="M8" s="10">
        <v>5</v>
      </c>
      <c r="N8" s="10">
        <v>0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/>
      <c r="W8" s="10"/>
      <c r="X8" s="10"/>
      <c r="Y8" s="10"/>
      <c r="Z8" s="10"/>
      <c r="AA8" s="10"/>
      <c r="AB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U8" s="11">
        <v>5</v>
      </c>
      <c r="AV8" s="29" t="s">
        <v>53</v>
      </c>
      <c r="AW8" s="30">
        <v>75</v>
      </c>
      <c r="AX8" s="92">
        <v>2</v>
      </c>
      <c r="AZ8" s="112">
        <v>5</v>
      </c>
      <c r="BA8" s="5">
        <v>6</v>
      </c>
      <c r="BB8" s="5">
        <v>2</v>
      </c>
      <c r="BD8" s="10">
        <v>5</v>
      </c>
      <c r="BE8" s="10">
        <v>3</v>
      </c>
      <c r="BF8" s="10">
        <v>1</v>
      </c>
      <c r="BG8" s="10">
        <v>1</v>
      </c>
      <c r="BH8" s="10">
        <v>5</v>
      </c>
    </row>
    <row r="9" spans="1:60" x14ac:dyDescent="0.35">
      <c r="A9" s="10">
        <v>6</v>
      </c>
      <c r="B9" s="10" t="s">
        <v>254</v>
      </c>
      <c r="C9" s="5">
        <v>1</v>
      </c>
      <c r="D9" s="5">
        <v>16</v>
      </c>
      <c r="F9" s="10"/>
      <c r="G9" s="5"/>
      <c r="H9" s="5"/>
      <c r="J9" s="5">
        <v>6</v>
      </c>
      <c r="K9" s="5">
        <v>6</v>
      </c>
      <c r="M9" s="10">
        <v>6</v>
      </c>
      <c r="N9" s="10">
        <v>0</v>
      </c>
      <c r="O9" s="10">
        <v>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/>
      <c r="W9" s="10"/>
      <c r="X9" s="10"/>
      <c r="Y9" s="10"/>
      <c r="Z9" s="10"/>
      <c r="AA9" s="10"/>
      <c r="AB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U9" s="11">
        <v>6</v>
      </c>
      <c r="AV9" s="31" t="s">
        <v>54</v>
      </c>
      <c r="AW9" s="30">
        <v>88</v>
      </c>
      <c r="AX9" s="92">
        <v>2</v>
      </c>
      <c r="AZ9" s="112">
        <v>6</v>
      </c>
      <c r="BA9" s="5">
        <v>8</v>
      </c>
      <c r="BB9" s="5">
        <v>2</v>
      </c>
      <c r="BD9" s="10">
        <v>6</v>
      </c>
      <c r="BE9" s="10">
        <v>3</v>
      </c>
      <c r="BF9" s="10">
        <v>5</v>
      </c>
      <c r="BG9" s="10">
        <v>1</v>
      </c>
      <c r="BH9" s="10">
        <v>5</v>
      </c>
    </row>
    <row r="10" spans="1:60" x14ac:dyDescent="0.35">
      <c r="A10" s="10">
        <v>7</v>
      </c>
      <c r="B10" s="10" t="s">
        <v>255</v>
      </c>
      <c r="C10" s="5">
        <v>1</v>
      </c>
      <c r="D10" s="5">
        <v>16</v>
      </c>
      <c r="F10" s="10"/>
      <c r="G10" s="5"/>
      <c r="H10" s="5"/>
      <c r="J10" s="5">
        <v>7</v>
      </c>
      <c r="K10" s="5">
        <v>7</v>
      </c>
      <c r="M10" s="10">
        <v>7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/>
      <c r="W10" s="10"/>
      <c r="X10" s="10"/>
      <c r="Y10" s="10"/>
      <c r="Z10" s="10"/>
      <c r="AA10" s="10"/>
      <c r="AB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U10" s="11">
        <v>7</v>
      </c>
      <c r="AV10" s="29" t="s">
        <v>55</v>
      </c>
      <c r="AW10" s="33">
        <v>71</v>
      </c>
      <c r="AX10" s="92">
        <v>2</v>
      </c>
      <c r="AZ10" s="112">
        <v>7</v>
      </c>
      <c r="BA10" s="5">
        <v>1</v>
      </c>
      <c r="BB10" s="5">
        <v>2</v>
      </c>
      <c r="BD10" s="10">
        <v>7</v>
      </c>
      <c r="BE10" s="10">
        <v>4</v>
      </c>
      <c r="BF10" s="10">
        <v>1</v>
      </c>
      <c r="BG10" s="10">
        <v>1</v>
      </c>
      <c r="BH10" s="10">
        <v>7</v>
      </c>
    </row>
    <row r="11" spans="1:60" x14ac:dyDescent="0.35">
      <c r="A11" s="10">
        <v>8</v>
      </c>
      <c r="B11" s="10" t="s">
        <v>256</v>
      </c>
      <c r="C11" s="5">
        <v>1</v>
      </c>
      <c r="D11" s="5">
        <v>16</v>
      </c>
      <c r="F11" s="10"/>
      <c r="G11" s="5"/>
      <c r="H11" s="5"/>
      <c r="J11" s="5">
        <v>8</v>
      </c>
      <c r="K11" s="5"/>
      <c r="M11" s="10">
        <v>8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/>
      <c r="W11" s="10"/>
      <c r="X11" s="10"/>
      <c r="Y11" s="10"/>
      <c r="Z11" s="10"/>
      <c r="AA11" s="10"/>
      <c r="AB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U11" s="11">
        <v>8</v>
      </c>
      <c r="AV11" s="29" t="s">
        <v>56</v>
      </c>
      <c r="AW11" s="30">
        <v>23</v>
      </c>
      <c r="AX11" s="92">
        <v>2</v>
      </c>
      <c r="AZ11" s="112">
        <v>8</v>
      </c>
      <c r="BA11" s="5">
        <v>3</v>
      </c>
      <c r="BB11" s="5">
        <v>3</v>
      </c>
      <c r="BD11" s="10">
        <v>8</v>
      </c>
      <c r="BE11" s="10">
        <v>4</v>
      </c>
      <c r="BF11" s="10">
        <v>5</v>
      </c>
      <c r="BG11" s="10">
        <v>1</v>
      </c>
      <c r="BH11" s="10">
        <v>7</v>
      </c>
    </row>
    <row r="12" spans="1:60" x14ac:dyDescent="0.35">
      <c r="A12" s="10">
        <v>9</v>
      </c>
      <c r="B12" s="10" t="s">
        <v>257</v>
      </c>
      <c r="C12" s="5">
        <v>1</v>
      </c>
      <c r="D12" s="5">
        <v>16</v>
      </c>
      <c r="F12" s="10"/>
      <c r="G12" s="5"/>
      <c r="H12" s="5"/>
      <c r="J12" s="5"/>
      <c r="K12" s="5"/>
      <c r="M12" s="10">
        <v>9</v>
      </c>
      <c r="N12" s="10">
        <v>0</v>
      </c>
      <c r="O12" s="10">
        <v>0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/>
      <c r="W12" s="10"/>
      <c r="X12" s="10"/>
      <c r="Y12" s="10"/>
      <c r="Z12" s="10"/>
      <c r="AA12" s="10"/>
      <c r="AB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U12" s="11">
        <v>9</v>
      </c>
      <c r="AV12" s="31" t="s">
        <v>57</v>
      </c>
      <c r="AW12" s="30">
        <v>50</v>
      </c>
      <c r="AX12" s="92">
        <v>1</v>
      </c>
      <c r="AZ12" s="112">
        <v>9</v>
      </c>
      <c r="BA12" s="5">
        <v>5</v>
      </c>
      <c r="BB12" s="5">
        <v>3</v>
      </c>
      <c r="BD12" s="10">
        <v>9</v>
      </c>
      <c r="BE12" s="10">
        <v>5</v>
      </c>
      <c r="BF12" s="10">
        <v>2</v>
      </c>
      <c r="BG12" s="10">
        <v>6</v>
      </c>
      <c r="BH12" s="10">
        <v>2</v>
      </c>
    </row>
    <row r="13" spans="1:60" x14ac:dyDescent="0.35">
      <c r="A13" s="10">
        <v>10</v>
      </c>
      <c r="B13" s="10" t="s">
        <v>258</v>
      </c>
      <c r="C13" s="5">
        <v>1</v>
      </c>
      <c r="D13" s="5">
        <v>16</v>
      </c>
      <c r="F13" s="10"/>
      <c r="G13" s="10"/>
      <c r="H13" s="10"/>
      <c r="J13" s="5"/>
      <c r="K13" s="5"/>
      <c r="M13" s="10">
        <v>10</v>
      </c>
      <c r="N13" s="10">
        <v>0</v>
      </c>
      <c r="O13" s="10">
        <v>0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/>
      <c r="W13" s="10"/>
      <c r="X13" s="10"/>
      <c r="Y13" s="10"/>
      <c r="Z13" s="10"/>
      <c r="AA13" s="10"/>
      <c r="AB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U13" s="11">
        <v>10</v>
      </c>
      <c r="AV13" s="29" t="s">
        <v>58</v>
      </c>
      <c r="AW13" s="30">
        <v>74</v>
      </c>
      <c r="AX13" s="92">
        <v>1</v>
      </c>
      <c r="AZ13" s="112">
        <v>10</v>
      </c>
      <c r="BA13" s="5">
        <v>6</v>
      </c>
      <c r="BB13" s="5">
        <v>6</v>
      </c>
      <c r="BD13" s="10">
        <v>10</v>
      </c>
      <c r="BE13" s="10">
        <v>5</v>
      </c>
      <c r="BF13" s="10">
        <v>5</v>
      </c>
      <c r="BG13" s="10">
        <v>6</v>
      </c>
      <c r="BH13" s="10">
        <v>2</v>
      </c>
    </row>
    <row r="14" spans="1:60" x14ac:dyDescent="0.35">
      <c r="A14" s="10">
        <v>11</v>
      </c>
      <c r="B14" s="10" t="s">
        <v>259</v>
      </c>
      <c r="C14" s="5">
        <v>1</v>
      </c>
      <c r="D14" s="5">
        <v>16</v>
      </c>
      <c r="F14" s="10"/>
      <c r="G14" s="10"/>
      <c r="H14" s="10"/>
      <c r="J14" s="5"/>
      <c r="K14" s="5"/>
      <c r="M14" s="10">
        <v>11</v>
      </c>
      <c r="N14" s="10">
        <v>0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/>
      <c r="W14" s="10"/>
      <c r="X14" s="10"/>
      <c r="Y14" s="10"/>
      <c r="Z14" s="10"/>
      <c r="AA14" s="10"/>
      <c r="AB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U14" s="11">
        <v>11</v>
      </c>
      <c r="AV14" s="31" t="s">
        <v>59</v>
      </c>
      <c r="AW14" s="30">
        <v>70</v>
      </c>
      <c r="AX14" s="92">
        <v>1</v>
      </c>
      <c r="AZ14" s="112">
        <v>11</v>
      </c>
      <c r="BA14" s="5">
        <v>5</v>
      </c>
      <c r="BB14" s="5">
        <v>6</v>
      </c>
      <c r="BD14" s="10">
        <v>11</v>
      </c>
      <c r="BE14" s="10">
        <v>6</v>
      </c>
      <c r="BF14" s="10">
        <v>1</v>
      </c>
      <c r="BG14" s="10">
        <v>8</v>
      </c>
      <c r="BH14" s="10">
        <v>2</v>
      </c>
    </row>
    <row r="15" spans="1:60" x14ac:dyDescent="0.35">
      <c r="A15" s="10">
        <v>12</v>
      </c>
      <c r="B15" s="10" t="s">
        <v>260</v>
      </c>
      <c r="C15" s="5">
        <v>1</v>
      </c>
      <c r="D15" s="5">
        <v>16</v>
      </c>
      <c r="F15" s="10"/>
      <c r="G15" s="10"/>
      <c r="H15" s="10"/>
      <c r="J15" s="5"/>
      <c r="K15" s="5"/>
      <c r="M15" s="10">
        <v>12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/>
      <c r="W15" s="10"/>
      <c r="X15" s="10"/>
      <c r="Y15" s="10"/>
      <c r="Z15" s="10"/>
      <c r="AA15" s="10"/>
      <c r="AB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U15" s="11">
        <v>12</v>
      </c>
      <c r="AV15" s="29" t="s">
        <v>60</v>
      </c>
      <c r="AW15" s="30">
        <v>24</v>
      </c>
      <c r="AX15" s="92">
        <v>1</v>
      </c>
      <c r="AZ15" s="112">
        <v>12</v>
      </c>
      <c r="BA15" s="5">
        <v>3</v>
      </c>
      <c r="BB15" s="5">
        <v>7</v>
      </c>
      <c r="BD15" s="10">
        <v>12</v>
      </c>
      <c r="BE15" s="10">
        <v>6</v>
      </c>
      <c r="BF15" s="10">
        <v>5</v>
      </c>
      <c r="BG15" s="10">
        <v>8</v>
      </c>
      <c r="BH15" s="10">
        <v>2</v>
      </c>
    </row>
    <row r="16" spans="1:60" x14ac:dyDescent="0.35">
      <c r="A16" s="10">
        <v>13</v>
      </c>
      <c r="B16" s="10" t="s">
        <v>261</v>
      </c>
      <c r="C16" s="5">
        <v>2</v>
      </c>
      <c r="D16" s="5">
        <v>16</v>
      </c>
      <c r="F16" s="10"/>
      <c r="G16" s="10"/>
      <c r="H16" s="10"/>
      <c r="J16" s="5"/>
      <c r="K16" s="5"/>
      <c r="M16" s="10">
        <v>13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/>
      <c r="W16" s="10"/>
      <c r="X16" s="10"/>
      <c r="Y16" s="10"/>
      <c r="Z16" s="10"/>
      <c r="AA16" s="10"/>
      <c r="AB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U16" s="11">
        <v>13</v>
      </c>
      <c r="AV16" s="31" t="s">
        <v>61</v>
      </c>
      <c r="AW16" s="30">
        <v>26</v>
      </c>
      <c r="AX16" s="92">
        <v>2</v>
      </c>
      <c r="AZ16" s="112">
        <v>13</v>
      </c>
      <c r="BA16" s="5">
        <v>2</v>
      </c>
      <c r="BB16" s="5">
        <v>7</v>
      </c>
      <c r="BD16" s="10">
        <v>13</v>
      </c>
      <c r="BE16" s="10">
        <v>7</v>
      </c>
      <c r="BF16" s="10">
        <v>12</v>
      </c>
      <c r="BG16" s="10">
        <v>1</v>
      </c>
      <c r="BH16" s="10">
        <v>2</v>
      </c>
    </row>
    <row r="17" spans="1:60" x14ac:dyDescent="0.35">
      <c r="A17" s="10">
        <v>14</v>
      </c>
      <c r="B17" s="10" t="s">
        <v>262</v>
      </c>
      <c r="C17" s="5">
        <v>2</v>
      </c>
      <c r="D17" s="5">
        <v>16</v>
      </c>
      <c r="F17" s="10"/>
      <c r="G17" s="10"/>
      <c r="H17" s="10"/>
      <c r="J17" s="5"/>
      <c r="K17" s="5"/>
      <c r="M17" s="10">
        <v>14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/>
      <c r="W17" s="10"/>
      <c r="X17" s="10"/>
      <c r="Y17" s="10"/>
      <c r="Z17" s="10"/>
      <c r="AA17" s="10"/>
      <c r="AB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U17" s="11">
        <v>14</v>
      </c>
      <c r="AV17" s="29" t="s">
        <v>62</v>
      </c>
      <c r="AW17" s="30">
        <v>26</v>
      </c>
      <c r="AX17" s="92">
        <v>2</v>
      </c>
      <c r="AZ17" s="112">
        <v>14</v>
      </c>
      <c r="BA17" s="5">
        <v>8</v>
      </c>
      <c r="BB17" s="5">
        <v>3</v>
      </c>
      <c r="BD17" s="10">
        <v>14</v>
      </c>
      <c r="BE17" s="10">
        <v>7</v>
      </c>
      <c r="BF17" s="10">
        <v>14</v>
      </c>
      <c r="BG17" s="10">
        <v>1</v>
      </c>
      <c r="BH17" s="10">
        <v>2</v>
      </c>
    </row>
    <row r="18" spans="1:60" x14ac:dyDescent="0.35">
      <c r="A18" s="10">
        <v>15</v>
      </c>
      <c r="B18" s="10" t="s">
        <v>263</v>
      </c>
      <c r="C18" s="5">
        <v>2</v>
      </c>
      <c r="D18" s="5">
        <v>14</v>
      </c>
      <c r="F18" s="10"/>
      <c r="G18" s="10"/>
      <c r="H18" s="10"/>
      <c r="J18" s="5"/>
      <c r="K18" s="5"/>
      <c r="M18" s="10">
        <v>15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/>
      <c r="W18" s="10"/>
      <c r="X18" s="10"/>
      <c r="Y18" s="10"/>
      <c r="Z18" s="10"/>
      <c r="AA18" s="10"/>
      <c r="AB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U18" s="11">
        <v>15</v>
      </c>
      <c r="AV18" s="31" t="s">
        <v>63</v>
      </c>
      <c r="AW18" s="30">
        <v>25</v>
      </c>
      <c r="AX18" s="92">
        <v>2</v>
      </c>
      <c r="AZ18" s="112">
        <v>15</v>
      </c>
      <c r="BA18" s="5">
        <v>3</v>
      </c>
      <c r="BB18" s="5">
        <v>5</v>
      </c>
      <c r="BD18" s="10">
        <v>15</v>
      </c>
      <c r="BE18" s="10">
        <v>7</v>
      </c>
      <c r="BF18" s="10">
        <v>15</v>
      </c>
      <c r="BG18" s="10">
        <v>1</v>
      </c>
      <c r="BH18" s="10">
        <v>2</v>
      </c>
    </row>
    <row r="19" spans="1:60" x14ac:dyDescent="0.35">
      <c r="A19" s="10">
        <v>16</v>
      </c>
      <c r="B19" s="10" t="s">
        <v>264</v>
      </c>
      <c r="C19" s="5">
        <v>2</v>
      </c>
      <c r="D19" s="5">
        <v>14</v>
      </c>
      <c r="F19" s="10"/>
      <c r="G19" s="10"/>
      <c r="H19" s="10"/>
      <c r="J19" s="5"/>
      <c r="K19" s="5"/>
      <c r="M19" s="10">
        <v>16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/>
      <c r="W19" s="10"/>
      <c r="X19" s="10"/>
      <c r="Y19" s="10"/>
      <c r="Z19" s="10"/>
      <c r="AA19" s="10"/>
      <c r="AB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U19" s="11">
        <v>16</v>
      </c>
      <c r="AV19" s="29" t="s">
        <v>64</v>
      </c>
      <c r="AW19" s="30">
        <v>24</v>
      </c>
      <c r="AX19" s="92">
        <v>2</v>
      </c>
      <c r="AZ19" s="112">
        <v>16</v>
      </c>
      <c r="BA19" s="5">
        <v>2</v>
      </c>
      <c r="BB19" s="5">
        <v>3</v>
      </c>
      <c r="BD19" s="10">
        <v>16</v>
      </c>
      <c r="BE19" s="10">
        <v>8</v>
      </c>
      <c r="BF19" s="10">
        <v>11</v>
      </c>
      <c r="BG19" s="10">
        <v>3</v>
      </c>
      <c r="BH19" s="10">
        <v>3</v>
      </c>
    </row>
    <row r="20" spans="1:60" x14ac:dyDescent="0.35">
      <c r="A20" s="10">
        <v>17</v>
      </c>
      <c r="B20" s="10" t="s">
        <v>265</v>
      </c>
      <c r="C20" s="5">
        <v>2</v>
      </c>
      <c r="D20" s="5">
        <v>14</v>
      </c>
      <c r="F20" s="10"/>
      <c r="G20" s="10"/>
      <c r="H20" s="10"/>
      <c r="J20" s="5"/>
      <c r="K20" s="5"/>
      <c r="M20" s="10">
        <v>17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/>
      <c r="W20" s="10"/>
      <c r="X20" s="10"/>
      <c r="Y20" s="10"/>
      <c r="Z20" s="10"/>
      <c r="AA20" s="10"/>
      <c r="AB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U20" s="11">
        <v>17</v>
      </c>
      <c r="AV20" s="31" t="s">
        <v>65</v>
      </c>
      <c r="AW20" s="30">
        <v>29</v>
      </c>
      <c r="AX20" s="92">
        <v>1</v>
      </c>
      <c r="AZ20" s="112">
        <v>17</v>
      </c>
      <c r="BA20" s="5">
        <v>5</v>
      </c>
      <c r="BB20" s="5">
        <v>7</v>
      </c>
      <c r="BD20" s="10">
        <v>17</v>
      </c>
      <c r="BE20" s="10">
        <v>9</v>
      </c>
      <c r="BF20" s="10">
        <v>2</v>
      </c>
      <c r="BG20" s="10">
        <v>5</v>
      </c>
      <c r="BH20" s="10">
        <v>3</v>
      </c>
    </row>
    <row r="21" spans="1:60" x14ac:dyDescent="0.35">
      <c r="A21" s="10">
        <v>18</v>
      </c>
      <c r="B21" s="10" t="s">
        <v>266</v>
      </c>
      <c r="C21" s="5">
        <v>2</v>
      </c>
      <c r="D21" s="5">
        <v>14</v>
      </c>
      <c r="F21" s="10"/>
      <c r="G21" s="10"/>
      <c r="H21" s="10"/>
      <c r="J21" s="5"/>
      <c r="K21" s="5"/>
      <c r="M21" s="10">
        <v>18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/>
      <c r="W21" s="10"/>
      <c r="X21" s="10"/>
      <c r="Y21" s="10"/>
      <c r="Z21" s="10"/>
      <c r="AA21" s="10"/>
      <c r="AB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U21" s="11">
        <v>18</v>
      </c>
      <c r="AV21" s="31" t="s">
        <v>66</v>
      </c>
      <c r="AW21" s="30">
        <v>13</v>
      </c>
      <c r="AX21" s="92">
        <v>1</v>
      </c>
      <c r="AZ21" s="112">
        <v>18</v>
      </c>
      <c r="BA21" s="5">
        <v>6</v>
      </c>
      <c r="BB21" s="5">
        <v>7</v>
      </c>
      <c r="BD21" s="10">
        <v>18</v>
      </c>
      <c r="BE21" s="10">
        <v>10</v>
      </c>
      <c r="BF21" s="10">
        <v>3</v>
      </c>
      <c r="BG21" s="10">
        <v>6</v>
      </c>
      <c r="BH21" s="10">
        <v>6</v>
      </c>
    </row>
    <row r="22" spans="1:60" x14ac:dyDescent="0.35">
      <c r="A22" s="10">
        <v>19</v>
      </c>
      <c r="B22" s="10" t="s">
        <v>267</v>
      </c>
      <c r="C22" s="5">
        <v>2</v>
      </c>
      <c r="D22" s="5">
        <v>14</v>
      </c>
      <c r="F22" s="10"/>
      <c r="G22" s="10"/>
      <c r="H22" s="10"/>
      <c r="J22" s="5"/>
      <c r="K22" s="5"/>
      <c r="M22" s="10">
        <v>19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/>
      <c r="W22" s="10"/>
      <c r="X22" s="10"/>
      <c r="Y22" s="10"/>
      <c r="Z22" s="10"/>
      <c r="AA22" s="10"/>
      <c r="AB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U22" s="11">
        <v>19</v>
      </c>
      <c r="AV22" s="29" t="s">
        <v>67</v>
      </c>
      <c r="AW22" s="30">
        <v>19</v>
      </c>
      <c r="AX22" s="92">
        <v>2</v>
      </c>
      <c r="AZ22" s="112">
        <v>19</v>
      </c>
      <c r="BA22" s="5">
        <v>7</v>
      </c>
      <c r="BB22" s="5">
        <v>1</v>
      </c>
      <c r="BD22" s="10">
        <v>19</v>
      </c>
      <c r="BE22" s="10">
        <v>10</v>
      </c>
      <c r="BF22" s="10">
        <v>4</v>
      </c>
      <c r="BG22" s="10">
        <v>6</v>
      </c>
      <c r="BH22" s="10">
        <v>6</v>
      </c>
    </row>
    <row r="23" spans="1:60" x14ac:dyDescent="0.35">
      <c r="A23" s="10">
        <v>20</v>
      </c>
      <c r="B23" s="10" t="s">
        <v>268</v>
      </c>
      <c r="C23" s="5">
        <v>2</v>
      </c>
      <c r="D23" s="5">
        <v>14</v>
      </c>
      <c r="F23" s="10"/>
      <c r="G23" s="10"/>
      <c r="H23" s="10"/>
      <c r="J23" s="5"/>
      <c r="K23" s="5"/>
      <c r="M23" s="10">
        <v>20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/>
      <c r="W23" s="10"/>
      <c r="X23" s="10"/>
      <c r="Y23" s="10"/>
      <c r="Z23" s="10"/>
      <c r="AA23" s="10"/>
      <c r="AB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U23" s="11">
        <v>20</v>
      </c>
      <c r="AV23" s="29" t="s">
        <v>68</v>
      </c>
      <c r="AW23" s="30">
        <v>30</v>
      </c>
      <c r="AX23" s="92">
        <v>1</v>
      </c>
      <c r="AZ23" s="112">
        <v>20</v>
      </c>
      <c r="BA23" s="5">
        <v>8</v>
      </c>
      <c r="BB23" s="5">
        <v>6</v>
      </c>
      <c r="BD23" s="10">
        <v>20</v>
      </c>
      <c r="BE23" s="10">
        <v>11</v>
      </c>
      <c r="BF23" s="10">
        <v>1</v>
      </c>
      <c r="BG23" s="10">
        <v>5</v>
      </c>
      <c r="BH23" s="10">
        <v>6</v>
      </c>
    </row>
    <row r="24" spans="1:60" ht="28" x14ac:dyDescent="0.35">
      <c r="A24" s="10">
        <v>21</v>
      </c>
      <c r="B24" s="10" t="s">
        <v>269</v>
      </c>
      <c r="C24" s="5">
        <v>2</v>
      </c>
      <c r="D24" s="5">
        <v>14</v>
      </c>
      <c r="F24" s="10"/>
      <c r="G24" s="10"/>
      <c r="H24" s="10"/>
      <c r="M24" s="10">
        <v>21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/>
      <c r="W24" s="10"/>
      <c r="X24" s="10"/>
      <c r="Y24" s="10"/>
      <c r="Z24" s="10"/>
      <c r="AA24" s="10"/>
      <c r="AB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U24" s="11">
        <v>21</v>
      </c>
      <c r="AV24" s="31" t="s">
        <v>69</v>
      </c>
      <c r="AW24" s="30">
        <v>12</v>
      </c>
      <c r="AX24" s="92">
        <v>2</v>
      </c>
      <c r="AZ24" s="112">
        <v>21</v>
      </c>
      <c r="BA24" s="5">
        <v>2</v>
      </c>
      <c r="BB24" s="5">
        <v>6</v>
      </c>
      <c r="BD24" s="10">
        <v>21</v>
      </c>
      <c r="BE24" s="10">
        <v>11</v>
      </c>
      <c r="BF24" s="10">
        <v>3</v>
      </c>
      <c r="BG24" s="10">
        <v>5</v>
      </c>
      <c r="BH24" s="10">
        <v>6</v>
      </c>
    </row>
    <row r="25" spans="1:60" x14ac:dyDescent="0.35">
      <c r="A25" s="10">
        <v>22</v>
      </c>
      <c r="B25" s="10" t="s">
        <v>270</v>
      </c>
      <c r="C25" s="5">
        <v>2</v>
      </c>
      <c r="D25" s="5">
        <v>14</v>
      </c>
      <c r="F25" s="10"/>
      <c r="G25" s="10"/>
      <c r="H25" s="10"/>
      <c r="J25" s="169" t="s">
        <v>282</v>
      </c>
      <c r="K25" s="169"/>
      <c r="M25" s="10">
        <v>22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/>
      <c r="W25" s="10"/>
      <c r="X25" s="10"/>
      <c r="Y25" s="10"/>
      <c r="Z25" s="10"/>
      <c r="AA25" s="10"/>
      <c r="AB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U25" s="11">
        <v>22</v>
      </c>
      <c r="AV25" s="34" t="s">
        <v>70</v>
      </c>
      <c r="AW25" s="30">
        <v>19</v>
      </c>
      <c r="AX25" s="92">
        <v>2</v>
      </c>
      <c r="AZ25" s="112">
        <v>22</v>
      </c>
      <c r="BA25" s="5">
        <v>3</v>
      </c>
      <c r="BB25" s="5">
        <v>4</v>
      </c>
      <c r="BD25" s="10">
        <v>22</v>
      </c>
      <c r="BE25" s="10">
        <v>12</v>
      </c>
      <c r="BF25" s="10">
        <v>11</v>
      </c>
      <c r="BG25" s="10">
        <v>3</v>
      </c>
      <c r="BH25" s="10">
        <v>7</v>
      </c>
    </row>
    <row r="26" spans="1:60" x14ac:dyDescent="0.35">
      <c r="A26" s="10">
        <v>23</v>
      </c>
      <c r="B26" s="10" t="s">
        <v>271</v>
      </c>
      <c r="C26" s="5">
        <v>2</v>
      </c>
      <c r="D26" s="5">
        <v>14</v>
      </c>
      <c r="F26" s="10"/>
      <c r="G26" s="10"/>
      <c r="H26" s="10"/>
      <c r="J26" s="90"/>
      <c r="K26" s="91">
        <v>1</v>
      </c>
      <c r="M26" s="10">
        <v>23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/>
      <c r="W26" s="10"/>
      <c r="X26" s="10"/>
      <c r="Y26" s="10"/>
      <c r="Z26" s="10"/>
      <c r="AA26" s="10"/>
      <c r="AB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U26" s="11">
        <v>23</v>
      </c>
      <c r="AV26" s="35" t="s">
        <v>71</v>
      </c>
      <c r="AW26" s="36">
        <v>76</v>
      </c>
      <c r="AX26" s="92">
        <v>2</v>
      </c>
      <c r="AZ26" s="112">
        <v>23</v>
      </c>
      <c r="BA26" s="5">
        <v>5</v>
      </c>
      <c r="BB26" s="5">
        <v>1</v>
      </c>
      <c r="BD26" s="10">
        <v>23</v>
      </c>
      <c r="BE26" s="10">
        <v>13</v>
      </c>
      <c r="BF26" s="10">
        <v>3</v>
      </c>
      <c r="BG26" s="10">
        <v>2</v>
      </c>
      <c r="BH26" s="10">
        <v>7</v>
      </c>
    </row>
    <row r="27" spans="1:60" x14ac:dyDescent="0.35">
      <c r="A27" s="10">
        <v>24</v>
      </c>
      <c r="B27" s="10" t="s">
        <v>272</v>
      </c>
      <c r="C27" s="5">
        <v>2</v>
      </c>
      <c r="D27" s="5">
        <v>14</v>
      </c>
      <c r="F27" s="10"/>
      <c r="G27" s="10"/>
      <c r="H27" s="10"/>
      <c r="J27" s="10">
        <v>1</v>
      </c>
      <c r="K27" s="89" t="s">
        <v>15</v>
      </c>
      <c r="M27" s="10">
        <v>24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/>
      <c r="W27" s="10"/>
      <c r="X27" s="10"/>
      <c r="Y27" s="10"/>
      <c r="Z27" s="10"/>
      <c r="AA27" s="10"/>
      <c r="AB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U27" s="11">
        <v>24</v>
      </c>
      <c r="AV27" s="37" t="s">
        <v>72</v>
      </c>
      <c r="AW27" s="36">
        <v>70</v>
      </c>
      <c r="AX27" s="92">
        <v>2</v>
      </c>
      <c r="AZ27" s="112">
        <v>24</v>
      </c>
      <c r="BA27" s="5">
        <v>5</v>
      </c>
      <c r="BB27" s="5">
        <v>1</v>
      </c>
      <c r="BD27" s="10">
        <v>24</v>
      </c>
      <c r="BE27" s="10">
        <v>14</v>
      </c>
      <c r="BF27" s="10">
        <v>2</v>
      </c>
      <c r="BG27" s="10">
        <v>8</v>
      </c>
      <c r="BH27" s="10">
        <v>3</v>
      </c>
    </row>
    <row r="28" spans="1:60" x14ac:dyDescent="0.35">
      <c r="A28" s="10">
        <v>25</v>
      </c>
      <c r="B28" s="10" t="s">
        <v>273</v>
      </c>
      <c r="C28" s="5">
        <v>2</v>
      </c>
      <c r="D28" s="5">
        <v>14</v>
      </c>
      <c r="F28" s="10"/>
      <c r="G28" s="10"/>
      <c r="H28" s="10"/>
      <c r="J28" s="10">
        <v>2</v>
      </c>
      <c r="K28" s="89" t="s">
        <v>16</v>
      </c>
      <c r="M28" s="10">
        <v>25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/>
      <c r="W28" s="10"/>
      <c r="X28" s="10"/>
      <c r="Y28" s="10"/>
      <c r="Z28" s="10"/>
      <c r="AA28" s="10"/>
      <c r="AB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U28" s="11">
        <v>25</v>
      </c>
      <c r="AV28" s="35" t="s">
        <v>73</v>
      </c>
      <c r="AW28" s="36">
        <v>91</v>
      </c>
      <c r="AX28" s="92">
        <v>2</v>
      </c>
      <c r="AZ28" s="112">
        <v>25</v>
      </c>
      <c r="BA28" s="5">
        <v>7</v>
      </c>
      <c r="BB28" s="5">
        <v>4</v>
      </c>
      <c r="BD28" s="10">
        <v>25</v>
      </c>
      <c r="BE28" s="10">
        <v>15</v>
      </c>
      <c r="BF28" s="10">
        <v>5</v>
      </c>
      <c r="BG28" s="10">
        <v>3</v>
      </c>
      <c r="BH28" s="10">
        <v>5</v>
      </c>
    </row>
    <row r="29" spans="1:60" x14ac:dyDescent="0.35">
      <c r="A29" s="10">
        <v>26</v>
      </c>
      <c r="B29" s="10" t="s">
        <v>274</v>
      </c>
      <c r="C29" s="5">
        <v>1</v>
      </c>
      <c r="D29" s="5">
        <v>0</v>
      </c>
      <c r="F29" s="10"/>
      <c r="G29" s="10"/>
      <c r="H29" s="10"/>
      <c r="J29" s="10">
        <v>3</v>
      </c>
      <c r="K29" s="89" t="s">
        <v>17</v>
      </c>
      <c r="M29" s="10">
        <v>26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/>
      <c r="W29" s="10"/>
      <c r="X29" s="10"/>
      <c r="Y29" s="10"/>
      <c r="Z29" s="10"/>
      <c r="AA29" s="10"/>
      <c r="AB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U29" s="11">
        <v>26</v>
      </c>
      <c r="AV29" s="37" t="s">
        <v>74</v>
      </c>
      <c r="AW29" s="36">
        <v>75</v>
      </c>
      <c r="AX29" s="92">
        <v>2</v>
      </c>
      <c r="AZ29" s="112">
        <v>26</v>
      </c>
      <c r="BA29" s="5">
        <v>4</v>
      </c>
      <c r="BB29" s="5">
        <v>1</v>
      </c>
      <c r="BD29" s="10">
        <v>26</v>
      </c>
      <c r="BE29" s="10">
        <v>16</v>
      </c>
      <c r="BF29" s="10">
        <v>5</v>
      </c>
      <c r="BG29" s="10">
        <v>2</v>
      </c>
      <c r="BH29" s="10">
        <v>3</v>
      </c>
    </row>
    <row r="30" spans="1:60" x14ac:dyDescent="0.35">
      <c r="A30" s="10">
        <v>27</v>
      </c>
      <c r="B30" s="10" t="s">
        <v>275</v>
      </c>
      <c r="C30" s="5">
        <v>1</v>
      </c>
      <c r="D30" s="5">
        <v>0</v>
      </c>
      <c r="F30" s="10"/>
      <c r="G30" s="10"/>
      <c r="H30" s="10"/>
      <c r="J30" s="10">
        <v>4</v>
      </c>
      <c r="K30" s="89" t="s">
        <v>18</v>
      </c>
      <c r="M30" s="10">
        <v>27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/>
      <c r="W30" s="10"/>
      <c r="X30" s="10"/>
      <c r="Y30" s="10"/>
      <c r="Z30" s="10"/>
      <c r="AA30" s="10"/>
      <c r="AB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U30" s="11">
        <v>27</v>
      </c>
      <c r="AV30" s="35" t="s">
        <v>75</v>
      </c>
      <c r="AW30" s="36">
        <v>69</v>
      </c>
      <c r="AX30" s="92">
        <v>1</v>
      </c>
      <c r="AZ30" s="112">
        <v>27</v>
      </c>
      <c r="BA30" s="5">
        <v>3</v>
      </c>
      <c r="BB30" s="5">
        <v>4</v>
      </c>
      <c r="BD30" s="10">
        <v>27</v>
      </c>
      <c r="BE30" s="10">
        <v>17</v>
      </c>
      <c r="BF30" s="10">
        <v>11</v>
      </c>
      <c r="BG30" s="10">
        <v>5</v>
      </c>
      <c r="BH30" s="10">
        <v>7</v>
      </c>
    </row>
    <row r="31" spans="1:60" x14ac:dyDescent="0.35">
      <c r="A31" s="10"/>
      <c r="B31" s="10"/>
      <c r="C31" s="10"/>
      <c r="D31" s="10"/>
      <c r="F31" s="10"/>
      <c r="G31" s="10"/>
      <c r="H31" s="10"/>
      <c r="J31" s="10">
        <v>5</v>
      </c>
      <c r="K31" s="89" t="s">
        <v>19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U31" s="11">
        <v>28</v>
      </c>
      <c r="AV31" s="37" t="s">
        <v>76</v>
      </c>
      <c r="AW31" s="36">
        <v>67</v>
      </c>
      <c r="AX31" s="92">
        <v>2</v>
      </c>
      <c r="AZ31" s="112">
        <v>28</v>
      </c>
      <c r="BA31" s="5">
        <v>1</v>
      </c>
      <c r="BB31" s="5">
        <v>7</v>
      </c>
      <c r="BD31" s="10">
        <v>28</v>
      </c>
      <c r="BE31" s="10">
        <v>18</v>
      </c>
      <c r="BF31" s="10">
        <v>2</v>
      </c>
      <c r="BG31" s="10">
        <v>6</v>
      </c>
      <c r="BH31" s="10">
        <v>7</v>
      </c>
    </row>
    <row r="32" spans="1:60" x14ac:dyDescent="0.35">
      <c r="A32" s="10"/>
      <c r="B32" s="10"/>
      <c r="C32" s="10"/>
      <c r="D32" s="10"/>
      <c r="F32" s="10"/>
      <c r="G32" s="10"/>
      <c r="H32" s="10"/>
      <c r="J32" s="10">
        <v>6</v>
      </c>
      <c r="K32" s="89" t="s">
        <v>283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U32" s="11">
        <v>29</v>
      </c>
      <c r="AV32" s="35" t="s">
        <v>77</v>
      </c>
      <c r="AW32" s="36">
        <v>39</v>
      </c>
      <c r="AX32" s="92">
        <v>2</v>
      </c>
      <c r="AZ32" s="112">
        <v>29</v>
      </c>
      <c r="BA32" s="5">
        <v>7</v>
      </c>
      <c r="BB32" s="5">
        <v>5</v>
      </c>
      <c r="BD32" s="10">
        <v>29</v>
      </c>
      <c r="BE32" s="10">
        <v>19</v>
      </c>
      <c r="BF32" s="10">
        <v>1</v>
      </c>
      <c r="BG32" s="10">
        <v>7</v>
      </c>
      <c r="BH32" s="10">
        <v>1</v>
      </c>
    </row>
    <row r="33" spans="1:60" x14ac:dyDescent="0.35">
      <c r="A33" s="10"/>
      <c r="B33" s="10"/>
      <c r="C33" s="10"/>
      <c r="D33" s="10"/>
      <c r="F33" s="10"/>
      <c r="G33" s="10"/>
      <c r="H33" s="10"/>
      <c r="J33" s="10">
        <v>7</v>
      </c>
      <c r="K33" s="89" t="s">
        <v>284</v>
      </c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U33" s="11">
        <v>30</v>
      </c>
      <c r="AV33" s="37" t="s">
        <v>78</v>
      </c>
      <c r="AW33" s="36">
        <v>32</v>
      </c>
      <c r="AX33" s="92">
        <v>2</v>
      </c>
      <c r="AZ33" s="112">
        <v>30</v>
      </c>
      <c r="BA33" s="5">
        <v>3</v>
      </c>
      <c r="BB33" s="5">
        <v>3</v>
      </c>
      <c r="BD33" s="10">
        <v>30</v>
      </c>
      <c r="BE33" s="10">
        <v>20</v>
      </c>
      <c r="BF33" s="10">
        <v>3</v>
      </c>
      <c r="BG33" s="10">
        <v>8</v>
      </c>
      <c r="BH33" s="10">
        <v>6</v>
      </c>
    </row>
    <row r="34" spans="1:60" x14ac:dyDescent="0.35">
      <c r="A34" s="10"/>
      <c r="B34" s="10"/>
      <c r="C34" s="10"/>
      <c r="D34" s="10"/>
      <c r="F34" s="10"/>
      <c r="G34" s="10"/>
      <c r="H34" s="10"/>
      <c r="J34" s="10">
        <v>8</v>
      </c>
      <c r="K34" s="89" t="s">
        <v>285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U34" s="11">
        <v>31</v>
      </c>
      <c r="AV34" s="35" t="s">
        <v>79</v>
      </c>
      <c r="AW34" s="36">
        <v>68</v>
      </c>
      <c r="AX34" s="92">
        <v>1</v>
      </c>
      <c r="AZ34" s="112">
        <v>31</v>
      </c>
      <c r="BA34" s="5">
        <v>5</v>
      </c>
      <c r="BB34" s="5">
        <v>5</v>
      </c>
      <c r="BD34" s="10">
        <v>31</v>
      </c>
      <c r="BE34" s="10">
        <v>21</v>
      </c>
      <c r="BF34" s="10">
        <v>5</v>
      </c>
      <c r="BG34" s="10">
        <v>2</v>
      </c>
      <c r="BH34" s="10">
        <v>6</v>
      </c>
    </row>
    <row r="35" spans="1:60" x14ac:dyDescent="0.35">
      <c r="A35" s="10"/>
      <c r="B35" s="10"/>
      <c r="C35" s="10"/>
      <c r="D35" s="10"/>
      <c r="F35" s="10"/>
      <c r="G35" s="10"/>
      <c r="H35" s="10"/>
      <c r="J35" s="10">
        <v>9</v>
      </c>
      <c r="K35" s="89" t="s">
        <v>286</v>
      </c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U35" s="11">
        <v>32</v>
      </c>
      <c r="AV35" s="35" t="s">
        <v>80</v>
      </c>
      <c r="AW35" s="36">
        <v>74</v>
      </c>
      <c r="AX35" s="92">
        <v>1</v>
      </c>
      <c r="AZ35" s="112">
        <v>32</v>
      </c>
      <c r="BA35" s="5">
        <v>6</v>
      </c>
      <c r="BB35" s="5">
        <v>6</v>
      </c>
      <c r="BD35" s="10">
        <v>32</v>
      </c>
      <c r="BE35" s="10">
        <v>22</v>
      </c>
      <c r="BF35" s="10">
        <v>2</v>
      </c>
      <c r="BG35" s="10">
        <v>3</v>
      </c>
      <c r="BH35" s="10">
        <v>4</v>
      </c>
    </row>
    <row r="36" spans="1:60" x14ac:dyDescent="0.35">
      <c r="A36" s="10"/>
      <c r="B36" s="10"/>
      <c r="C36" s="10"/>
      <c r="D36" s="10"/>
      <c r="F36" s="10"/>
      <c r="G36" s="10"/>
      <c r="H36" s="10"/>
      <c r="J36" s="10">
        <v>10</v>
      </c>
      <c r="K36" s="89" t="s">
        <v>287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U36" s="11">
        <v>33</v>
      </c>
      <c r="AV36" s="35" t="s">
        <v>81</v>
      </c>
      <c r="AW36" s="36">
        <v>69</v>
      </c>
      <c r="AX36" s="92">
        <v>1</v>
      </c>
      <c r="AZ36" s="112">
        <v>33</v>
      </c>
      <c r="BA36" s="5">
        <v>5</v>
      </c>
      <c r="BB36" s="5">
        <v>6</v>
      </c>
      <c r="BD36" s="10">
        <v>33</v>
      </c>
      <c r="BE36" s="10">
        <v>23</v>
      </c>
      <c r="BF36" s="10">
        <v>1</v>
      </c>
      <c r="BG36" s="10">
        <v>5</v>
      </c>
      <c r="BH36" s="10">
        <v>1</v>
      </c>
    </row>
    <row r="37" spans="1:60" x14ac:dyDescent="0.35">
      <c r="A37" s="10"/>
      <c r="B37" s="10"/>
      <c r="C37" s="10"/>
      <c r="D37" s="10"/>
      <c r="F37" s="10"/>
      <c r="G37" s="10"/>
      <c r="H37" s="10"/>
      <c r="J37" s="10">
        <v>11</v>
      </c>
      <c r="K37" s="89" t="s">
        <v>288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U37" s="11">
        <v>34</v>
      </c>
      <c r="AV37" s="37" t="s">
        <v>82</v>
      </c>
      <c r="AW37" s="36">
        <v>36</v>
      </c>
      <c r="AX37" s="92">
        <v>1</v>
      </c>
      <c r="AZ37" s="112">
        <v>34</v>
      </c>
      <c r="BA37" s="5">
        <v>4</v>
      </c>
      <c r="BB37" s="5">
        <v>6</v>
      </c>
      <c r="BD37" s="10">
        <v>34</v>
      </c>
      <c r="BE37" s="10">
        <v>23</v>
      </c>
      <c r="BF37" s="10">
        <v>5</v>
      </c>
      <c r="BG37" s="10">
        <v>5</v>
      </c>
      <c r="BH37" s="10">
        <v>1</v>
      </c>
    </row>
    <row r="38" spans="1:60" x14ac:dyDescent="0.35">
      <c r="A38" s="10"/>
      <c r="B38" s="10"/>
      <c r="C38" s="10"/>
      <c r="D38" s="10"/>
      <c r="F38" s="10"/>
      <c r="G38" s="10"/>
      <c r="H38" s="10"/>
      <c r="J38" s="10">
        <v>12</v>
      </c>
      <c r="K38" s="89" t="s">
        <v>20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U38" s="11">
        <v>35</v>
      </c>
      <c r="AV38" s="35" t="s">
        <v>83</v>
      </c>
      <c r="AW38" s="36">
        <v>16</v>
      </c>
      <c r="AX38" s="92">
        <v>1</v>
      </c>
      <c r="AZ38" s="112">
        <v>35</v>
      </c>
      <c r="BA38" s="5">
        <v>4</v>
      </c>
      <c r="BB38" s="5">
        <v>4</v>
      </c>
      <c r="BD38" s="10">
        <v>35</v>
      </c>
      <c r="BE38" s="10">
        <v>24</v>
      </c>
      <c r="BF38" s="10">
        <v>2</v>
      </c>
      <c r="BG38" s="10">
        <v>7</v>
      </c>
      <c r="BH38" s="10">
        <v>4</v>
      </c>
    </row>
    <row r="39" spans="1:60" x14ac:dyDescent="0.35">
      <c r="A39" s="10"/>
      <c r="B39" s="10"/>
      <c r="C39" s="10"/>
      <c r="D39" s="10"/>
      <c r="F39" s="10"/>
      <c r="G39" s="10"/>
      <c r="H39" s="10"/>
      <c r="J39" s="10">
        <v>13</v>
      </c>
      <c r="K39" s="89" t="s">
        <v>22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U39" s="11">
        <v>36</v>
      </c>
      <c r="AV39" s="37" t="s">
        <v>84</v>
      </c>
      <c r="AW39" s="36">
        <v>15</v>
      </c>
      <c r="AX39" s="92">
        <v>1</v>
      </c>
      <c r="AZ39" s="112">
        <v>36</v>
      </c>
      <c r="BA39" s="5">
        <v>3</v>
      </c>
      <c r="BB39" s="5">
        <v>7</v>
      </c>
      <c r="BD39" s="10">
        <v>36</v>
      </c>
      <c r="BE39" s="10">
        <v>24</v>
      </c>
      <c r="BF39" s="10">
        <v>4</v>
      </c>
      <c r="BG39" s="10">
        <v>7</v>
      </c>
      <c r="BH39" s="10">
        <v>4</v>
      </c>
    </row>
    <row r="40" spans="1:60" x14ac:dyDescent="0.35">
      <c r="A40" s="10"/>
      <c r="B40" s="10"/>
      <c r="C40" s="10"/>
      <c r="D40" s="10"/>
      <c r="F40" s="10"/>
      <c r="G40" s="10"/>
      <c r="H40" s="10"/>
      <c r="J40" s="10">
        <v>14</v>
      </c>
      <c r="K40" s="89" t="s">
        <v>23</v>
      </c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U40" s="11">
        <v>37</v>
      </c>
      <c r="AV40" s="35" t="s">
        <v>85</v>
      </c>
      <c r="AW40" s="36">
        <v>48</v>
      </c>
      <c r="AX40" s="92">
        <v>2</v>
      </c>
      <c r="AZ40" s="112">
        <v>37</v>
      </c>
      <c r="BA40" s="5">
        <v>2</v>
      </c>
      <c r="BB40" s="5">
        <v>2</v>
      </c>
      <c r="BD40" s="10">
        <v>37</v>
      </c>
      <c r="BE40" s="10">
        <v>25</v>
      </c>
      <c r="BF40" s="10">
        <v>1</v>
      </c>
      <c r="BG40" s="10">
        <v>4</v>
      </c>
      <c r="BH40" s="10">
        <v>1</v>
      </c>
    </row>
    <row r="41" spans="1:60" ht="15" thickBot="1" x14ac:dyDescent="0.4">
      <c r="A41" s="105"/>
      <c r="B41" s="105"/>
      <c r="C41" s="105"/>
      <c r="D41" s="105"/>
      <c r="F41" s="10"/>
      <c r="G41" s="10"/>
      <c r="H41" s="10"/>
      <c r="J41" s="10">
        <v>15</v>
      </c>
      <c r="K41" s="89" t="s">
        <v>24</v>
      </c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U41" s="11">
        <v>38</v>
      </c>
      <c r="AV41" s="37" t="s">
        <v>86</v>
      </c>
      <c r="AW41" s="36">
        <v>44</v>
      </c>
      <c r="AX41" s="92">
        <v>1</v>
      </c>
      <c r="AZ41" s="112">
        <v>38</v>
      </c>
      <c r="BA41" s="5">
        <v>3</v>
      </c>
      <c r="BB41" s="5">
        <v>5</v>
      </c>
      <c r="BD41" s="10">
        <v>38</v>
      </c>
      <c r="BE41" s="10">
        <v>25</v>
      </c>
      <c r="BF41" s="10">
        <v>2</v>
      </c>
      <c r="BG41" s="10">
        <v>4</v>
      </c>
      <c r="BH41" s="10">
        <v>1</v>
      </c>
    </row>
    <row r="42" spans="1:60" ht="15" thickBot="1" x14ac:dyDescent="0.4">
      <c r="A42" s="108">
        <f>MAX(A3:A41)</f>
        <v>27</v>
      </c>
      <c r="B42" s="109"/>
      <c r="C42" s="108" t="s">
        <v>301</v>
      </c>
      <c r="D42" s="110">
        <f>SUM(D3:D41)</f>
        <v>381</v>
      </c>
      <c r="F42" s="10"/>
      <c r="G42" s="10"/>
      <c r="H42" s="10"/>
      <c r="AU42" s="11">
        <v>39</v>
      </c>
      <c r="AV42" s="35" t="s">
        <v>87</v>
      </c>
      <c r="AW42" s="36">
        <v>45</v>
      </c>
      <c r="AX42" s="92">
        <v>2</v>
      </c>
      <c r="AZ42" s="112">
        <v>39</v>
      </c>
      <c r="BA42" s="5">
        <v>5</v>
      </c>
      <c r="BB42" s="5">
        <v>7</v>
      </c>
      <c r="BD42" s="10">
        <v>39</v>
      </c>
      <c r="BE42" s="10">
        <v>26</v>
      </c>
      <c r="BF42" s="10">
        <v>2</v>
      </c>
      <c r="BG42" s="10">
        <v>3</v>
      </c>
      <c r="BH42" s="10">
        <v>4</v>
      </c>
    </row>
    <row r="43" spans="1:60" ht="15" thickBot="1" x14ac:dyDescent="0.4">
      <c r="A43" s="106"/>
      <c r="B43" s="107"/>
      <c r="C43" s="106" t="s">
        <v>302</v>
      </c>
      <c r="D43" s="111" t="e">
        <f>(C1-D42)</f>
        <v>#REF!</v>
      </c>
      <c r="F43" s="10"/>
      <c r="G43" s="10"/>
      <c r="H43" s="10"/>
      <c r="AU43" s="11">
        <v>40</v>
      </c>
      <c r="AV43" s="37" t="s">
        <v>88</v>
      </c>
      <c r="AW43" s="36">
        <v>44</v>
      </c>
      <c r="AX43" s="92">
        <v>2</v>
      </c>
      <c r="AZ43" s="112">
        <v>40</v>
      </c>
      <c r="BA43" s="5">
        <v>1</v>
      </c>
      <c r="BB43" s="5">
        <v>2</v>
      </c>
      <c r="BD43" s="10">
        <v>40</v>
      </c>
      <c r="BE43" s="10">
        <v>26</v>
      </c>
      <c r="BF43" s="10">
        <v>5</v>
      </c>
      <c r="BG43" s="10">
        <v>3</v>
      </c>
      <c r="BH43" s="10">
        <v>4</v>
      </c>
    </row>
    <row r="44" spans="1:60" x14ac:dyDescent="0.35">
      <c r="AU44" s="11">
        <v>41</v>
      </c>
      <c r="AV44" s="35" t="s">
        <v>89</v>
      </c>
      <c r="AW44" s="36">
        <v>46</v>
      </c>
      <c r="AX44" s="92">
        <v>2</v>
      </c>
      <c r="AZ44" s="112">
        <v>41</v>
      </c>
      <c r="BA44" s="5">
        <v>6</v>
      </c>
      <c r="BB44" s="5">
        <v>7</v>
      </c>
      <c r="BD44" s="10">
        <v>41</v>
      </c>
      <c r="BE44" s="10">
        <v>27</v>
      </c>
      <c r="BF44" s="10">
        <v>3</v>
      </c>
      <c r="BG44" s="10">
        <v>1</v>
      </c>
      <c r="BH44" s="10">
        <v>7</v>
      </c>
    </row>
    <row r="45" spans="1:60" x14ac:dyDescent="0.35">
      <c r="AU45" s="11">
        <v>42</v>
      </c>
      <c r="AV45" s="35" t="s">
        <v>90</v>
      </c>
      <c r="AW45" s="36">
        <v>20</v>
      </c>
      <c r="AX45" s="92">
        <v>2</v>
      </c>
      <c r="AZ45" s="112">
        <v>42</v>
      </c>
      <c r="BA45" s="5">
        <v>5</v>
      </c>
      <c r="BB45" s="5">
        <v>4</v>
      </c>
      <c r="BD45" s="10">
        <v>42</v>
      </c>
      <c r="BE45" s="10">
        <v>27</v>
      </c>
      <c r="BF45" s="10">
        <v>6</v>
      </c>
      <c r="BG45" s="10">
        <v>1</v>
      </c>
      <c r="BH45" s="10">
        <v>7</v>
      </c>
    </row>
    <row r="46" spans="1:60" x14ac:dyDescent="0.35">
      <c r="AU46" s="11">
        <v>43</v>
      </c>
      <c r="AV46" s="37" t="s">
        <v>91</v>
      </c>
      <c r="AW46" s="36">
        <v>17</v>
      </c>
      <c r="AX46" s="92">
        <v>2</v>
      </c>
      <c r="AZ46" s="112">
        <v>43</v>
      </c>
      <c r="BA46" s="5">
        <v>7</v>
      </c>
      <c r="BB46" s="5">
        <v>1</v>
      </c>
      <c r="BD46" s="10">
        <v>43</v>
      </c>
      <c r="BE46" s="10">
        <v>28</v>
      </c>
      <c r="BF46" s="10">
        <v>3</v>
      </c>
      <c r="BG46" s="10">
        <v>7</v>
      </c>
      <c r="BH46" s="10">
        <v>5</v>
      </c>
    </row>
    <row r="47" spans="1:60" x14ac:dyDescent="0.35">
      <c r="AU47" s="11">
        <v>44</v>
      </c>
      <c r="AV47" s="35" t="s">
        <v>92</v>
      </c>
      <c r="AW47" s="36">
        <v>28</v>
      </c>
      <c r="AX47" s="92">
        <v>1</v>
      </c>
      <c r="AZ47" s="112">
        <v>44</v>
      </c>
      <c r="BA47" s="5">
        <v>7</v>
      </c>
      <c r="BB47" s="5">
        <v>3</v>
      </c>
      <c r="BD47" s="10">
        <v>44</v>
      </c>
      <c r="BE47" s="10">
        <v>28</v>
      </c>
      <c r="BF47" s="10">
        <v>4</v>
      </c>
      <c r="BG47" s="10">
        <v>7</v>
      </c>
      <c r="BH47" s="10">
        <v>5</v>
      </c>
    </row>
    <row r="48" spans="1:60" x14ac:dyDescent="0.35">
      <c r="AU48" s="11">
        <v>45</v>
      </c>
      <c r="AV48" s="37" t="s">
        <v>93</v>
      </c>
      <c r="AW48" s="36">
        <v>20</v>
      </c>
      <c r="AX48" s="92">
        <v>2</v>
      </c>
      <c r="AZ48" s="112">
        <v>45</v>
      </c>
      <c r="BA48" s="5">
        <v>2</v>
      </c>
      <c r="BB48" s="5">
        <v>6</v>
      </c>
      <c r="BD48" s="10">
        <v>45</v>
      </c>
      <c r="BE48" s="10">
        <v>29</v>
      </c>
      <c r="BF48" s="10">
        <v>6</v>
      </c>
      <c r="BG48" s="10">
        <v>3</v>
      </c>
      <c r="BH48" s="10">
        <v>3</v>
      </c>
    </row>
    <row r="49" spans="47:60" x14ac:dyDescent="0.35">
      <c r="AU49" s="11">
        <v>46</v>
      </c>
      <c r="AV49" s="35" t="s">
        <v>94</v>
      </c>
      <c r="AW49" s="36">
        <v>17</v>
      </c>
      <c r="AX49" s="92">
        <v>2</v>
      </c>
      <c r="AZ49" s="112">
        <v>46</v>
      </c>
      <c r="BA49" s="5">
        <v>2</v>
      </c>
      <c r="BB49" s="5">
        <v>5</v>
      </c>
      <c r="BD49" s="10">
        <v>46</v>
      </c>
      <c r="BE49" s="10">
        <v>30</v>
      </c>
      <c r="BF49" s="10">
        <v>4</v>
      </c>
      <c r="BG49" s="10">
        <v>5</v>
      </c>
      <c r="BH49" s="10">
        <v>5</v>
      </c>
    </row>
    <row r="50" spans="47:60" x14ac:dyDescent="0.35">
      <c r="AU50" s="11">
        <v>47</v>
      </c>
      <c r="AV50" s="37" t="s">
        <v>95</v>
      </c>
      <c r="AW50" s="36">
        <v>20</v>
      </c>
      <c r="AX50" s="92">
        <v>2</v>
      </c>
      <c r="AZ50" s="112">
        <v>47</v>
      </c>
      <c r="BA50" s="5">
        <v>1</v>
      </c>
      <c r="BB50" s="5">
        <v>6</v>
      </c>
      <c r="BD50" s="10">
        <v>47</v>
      </c>
      <c r="BE50" s="10">
        <v>31</v>
      </c>
      <c r="BF50" s="10">
        <v>2</v>
      </c>
      <c r="BG50" s="10">
        <v>6</v>
      </c>
      <c r="BH50" s="10">
        <v>6</v>
      </c>
    </row>
    <row r="51" spans="47:60" x14ac:dyDescent="0.35">
      <c r="AU51" s="11">
        <v>48</v>
      </c>
      <c r="AV51" s="35" t="s">
        <v>96</v>
      </c>
      <c r="AW51" s="36">
        <v>30</v>
      </c>
      <c r="AX51" s="92">
        <v>1</v>
      </c>
      <c r="AZ51" s="112">
        <v>48</v>
      </c>
      <c r="BA51" s="5">
        <v>2</v>
      </c>
      <c r="BB51" s="5">
        <v>1</v>
      </c>
      <c r="BD51" s="10">
        <v>48</v>
      </c>
      <c r="BE51" s="10">
        <v>31</v>
      </c>
      <c r="BF51" s="10">
        <v>5</v>
      </c>
      <c r="BG51" s="10">
        <v>6</v>
      </c>
      <c r="BH51" s="10">
        <v>6</v>
      </c>
    </row>
    <row r="52" spans="47:60" x14ac:dyDescent="0.35">
      <c r="AU52" s="11">
        <v>49</v>
      </c>
      <c r="AV52" s="38" t="s">
        <v>97</v>
      </c>
      <c r="AW52" s="39">
        <v>135</v>
      </c>
      <c r="AX52" s="92">
        <v>1</v>
      </c>
      <c r="AZ52" s="112">
        <v>49</v>
      </c>
      <c r="BA52" s="5">
        <v>8</v>
      </c>
      <c r="BB52" s="5">
        <v>4</v>
      </c>
      <c r="BD52" s="10">
        <v>49</v>
      </c>
      <c r="BE52" s="10">
        <v>32</v>
      </c>
      <c r="BF52" s="10">
        <v>2</v>
      </c>
      <c r="BG52" s="10">
        <v>5</v>
      </c>
      <c r="BH52" s="10">
        <v>6</v>
      </c>
    </row>
    <row r="53" spans="47:60" x14ac:dyDescent="0.35">
      <c r="AU53" s="11">
        <v>50</v>
      </c>
      <c r="AV53" s="38" t="s">
        <v>98</v>
      </c>
      <c r="AW53" s="39">
        <v>121</v>
      </c>
      <c r="AX53" s="92">
        <v>1</v>
      </c>
      <c r="AZ53" s="112">
        <v>50</v>
      </c>
      <c r="BA53" s="5">
        <v>6</v>
      </c>
      <c r="BB53" s="5">
        <v>6</v>
      </c>
      <c r="BD53" s="10">
        <v>50</v>
      </c>
      <c r="BE53" s="10">
        <v>32</v>
      </c>
      <c r="BF53" s="10">
        <v>9</v>
      </c>
      <c r="BG53" s="10">
        <v>5</v>
      </c>
      <c r="BH53" s="10">
        <v>6</v>
      </c>
    </row>
    <row r="54" spans="47:60" x14ac:dyDescent="0.35">
      <c r="AU54" s="11">
        <v>51</v>
      </c>
      <c r="AV54" s="38" t="s">
        <v>99</v>
      </c>
      <c r="AW54" s="39">
        <v>104</v>
      </c>
      <c r="AX54" s="92">
        <v>1</v>
      </c>
      <c r="AZ54" s="112">
        <v>51</v>
      </c>
      <c r="BA54" s="5">
        <v>5</v>
      </c>
      <c r="BB54" s="5">
        <v>6</v>
      </c>
      <c r="BD54" s="10">
        <v>51</v>
      </c>
      <c r="BE54" s="10">
        <v>33</v>
      </c>
      <c r="BF54" s="10">
        <v>9</v>
      </c>
      <c r="BG54" s="10">
        <v>4</v>
      </c>
      <c r="BH54" s="10">
        <v>6</v>
      </c>
    </row>
    <row r="55" spans="47:60" x14ac:dyDescent="0.35">
      <c r="AU55" s="11">
        <v>52</v>
      </c>
      <c r="AV55" s="38" t="s">
        <v>100</v>
      </c>
      <c r="AW55" s="39">
        <v>54</v>
      </c>
      <c r="AX55" s="92">
        <v>2</v>
      </c>
      <c r="AZ55" s="112">
        <v>52</v>
      </c>
      <c r="BA55" s="5">
        <v>4</v>
      </c>
      <c r="BB55" s="5">
        <v>6</v>
      </c>
      <c r="BD55" s="10">
        <v>52</v>
      </c>
      <c r="BE55" s="10">
        <v>33</v>
      </c>
      <c r="BF55" s="10">
        <v>11</v>
      </c>
      <c r="BG55" s="10">
        <v>4</v>
      </c>
      <c r="BH55" s="10">
        <v>6</v>
      </c>
    </row>
    <row r="56" spans="47:60" x14ac:dyDescent="0.35">
      <c r="AU56" s="11">
        <v>53</v>
      </c>
      <c r="AV56" s="38" t="s">
        <v>101</v>
      </c>
      <c r="AW56" s="39">
        <v>60</v>
      </c>
      <c r="AX56" s="92">
        <v>2</v>
      </c>
      <c r="AZ56" s="112">
        <v>53</v>
      </c>
      <c r="BA56" s="5">
        <v>3</v>
      </c>
      <c r="BB56" s="5">
        <v>1</v>
      </c>
      <c r="BD56" s="10">
        <v>53</v>
      </c>
      <c r="BE56" s="10">
        <v>34</v>
      </c>
      <c r="BF56" s="10">
        <v>4</v>
      </c>
      <c r="BG56" s="10">
        <v>4</v>
      </c>
      <c r="BH56" s="10">
        <v>4</v>
      </c>
    </row>
    <row r="57" spans="47:60" x14ac:dyDescent="0.35">
      <c r="AU57" s="11">
        <v>54</v>
      </c>
      <c r="AV57" s="38" t="s">
        <v>102</v>
      </c>
      <c r="AW57" s="39">
        <v>67</v>
      </c>
      <c r="AX57" s="92">
        <v>2</v>
      </c>
      <c r="AZ57" s="112">
        <v>54</v>
      </c>
      <c r="BA57" s="5">
        <v>8</v>
      </c>
      <c r="BB57" s="5">
        <v>3</v>
      </c>
      <c r="BD57" s="10">
        <v>54</v>
      </c>
      <c r="BE57" s="10">
        <v>35</v>
      </c>
      <c r="BF57" s="10">
        <v>7</v>
      </c>
      <c r="BG57" s="10">
        <v>3</v>
      </c>
      <c r="BH57" s="10">
        <v>7</v>
      </c>
    </row>
    <row r="58" spans="47:60" x14ac:dyDescent="0.35">
      <c r="AU58" s="11">
        <v>55</v>
      </c>
      <c r="AV58" s="38" t="s">
        <v>103</v>
      </c>
      <c r="AW58" s="39">
        <v>60</v>
      </c>
      <c r="AX58" s="92">
        <v>2</v>
      </c>
      <c r="AZ58" s="112">
        <v>55</v>
      </c>
      <c r="BA58" s="5">
        <v>2</v>
      </c>
      <c r="BB58" s="5">
        <v>4</v>
      </c>
      <c r="BD58" s="10">
        <v>55</v>
      </c>
      <c r="BE58" s="10">
        <v>36</v>
      </c>
      <c r="BF58" s="10">
        <v>4</v>
      </c>
      <c r="BG58" s="10">
        <v>2</v>
      </c>
      <c r="BH58" s="10">
        <v>2</v>
      </c>
    </row>
    <row r="59" spans="47:60" x14ac:dyDescent="0.35">
      <c r="AU59" s="11">
        <v>56</v>
      </c>
      <c r="AV59" s="38" t="s">
        <v>104</v>
      </c>
      <c r="AW59" s="39">
        <v>127</v>
      </c>
      <c r="AX59" s="92">
        <v>2</v>
      </c>
      <c r="AZ59" s="112">
        <v>56</v>
      </c>
      <c r="BA59" s="5">
        <v>7</v>
      </c>
      <c r="BB59" s="5">
        <v>1</v>
      </c>
      <c r="BD59" s="10">
        <v>56</v>
      </c>
      <c r="BE59" s="10">
        <v>37</v>
      </c>
      <c r="BF59" s="10">
        <v>2</v>
      </c>
      <c r="BG59" s="10">
        <v>3</v>
      </c>
      <c r="BH59" s="10">
        <v>5</v>
      </c>
    </row>
    <row r="60" spans="47:60" x14ac:dyDescent="0.35">
      <c r="AU60" s="11">
        <v>57</v>
      </c>
      <c r="AV60" s="38" t="s">
        <v>105</v>
      </c>
      <c r="AW60" s="39">
        <v>175</v>
      </c>
      <c r="AX60" s="92">
        <v>2</v>
      </c>
      <c r="AZ60" s="112">
        <v>57</v>
      </c>
      <c r="BA60" s="5">
        <v>4</v>
      </c>
      <c r="BB60" s="5">
        <v>5</v>
      </c>
      <c r="BD60" s="10">
        <v>57</v>
      </c>
      <c r="BE60" s="10">
        <v>38</v>
      </c>
      <c r="BF60" s="10">
        <v>1</v>
      </c>
      <c r="BG60" s="10">
        <v>5</v>
      </c>
      <c r="BH60" s="10">
        <v>7</v>
      </c>
    </row>
    <row r="61" spans="47:60" x14ac:dyDescent="0.35">
      <c r="AU61" s="11">
        <v>58</v>
      </c>
      <c r="AV61" s="38" t="s">
        <v>106</v>
      </c>
      <c r="AW61" s="39">
        <v>64</v>
      </c>
      <c r="AX61" s="92">
        <v>1</v>
      </c>
      <c r="AZ61" s="112">
        <v>58</v>
      </c>
      <c r="BA61" s="5">
        <v>4</v>
      </c>
      <c r="BB61" s="5">
        <v>7</v>
      </c>
      <c r="BD61" s="10">
        <v>58</v>
      </c>
      <c r="BE61" s="10">
        <v>39</v>
      </c>
      <c r="BF61" s="10">
        <v>8</v>
      </c>
      <c r="BG61" s="10">
        <v>1</v>
      </c>
      <c r="BH61" s="10">
        <v>2</v>
      </c>
    </row>
    <row r="62" spans="47:60" x14ac:dyDescent="0.35">
      <c r="AU62" s="11">
        <v>59</v>
      </c>
      <c r="AV62" s="38" t="s">
        <v>107</v>
      </c>
      <c r="AW62" s="39">
        <v>56</v>
      </c>
      <c r="AX62" s="92">
        <v>1</v>
      </c>
      <c r="AZ62" s="112">
        <v>59</v>
      </c>
      <c r="BA62" s="5">
        <v>1</v>
      </c>
      <c r="BB62" s="5">
        <v>7</v>
      </c>
      <c r="BD62" s="10">
        <v>59</v>
      </c>
      <c r="BE62" s="10">
        <v>40</v>
      </c>
      <c r="BF62" s="10">
        <v>11</v>
      </c>
      <c r="BG62" s="10">
        <v>6</v>
      </c>
      <c r="BH62" s="10">
        <v>7</v>
      </c>
    </row>
    <row r="63" spans="47:60" x14ac:dyDescent="0.35">
      <c r="AU63" s="11">
        <v>60</v>
      </c>
      <c r="AV63" s="38" t="s">
        <v>108</v>
      </c>
      <c r="AW63" s="39">
        <v>29</v>
      </c>
      <c r="AX63" s="92">
        <v>1</v>
      </c>
      <c r="AZ63" s="112">
        <v>60</v>
      </c>
      <c r="BA63" s="5">
        <v>1</v>
      </c>
      <c r="BB63" s="5">
        <v>7</v>
      </c>
      <c r="BD63" s="10">
        <v>60</v>
      </c>
      <c r="BE63" s="10">
        <v>41</v>
      </c>
      <c r="BF63" s="10">
        <v>2</v>
      </c>
      <c r="BG63" s="10">
        <v>5</v>
      </c>
      <c r="BH63" s="10">
        <v>4</v>
      </c>
    </row>
    <row r="64" spans="47:60" x14ac:dyDescent="0.35">
      <c r="AU64" s="11">
        <v>61</v>
      </c>
      <c r="AV64" s="38" t="s">
        <v>109</v>
      </c>
      <c r="AW64" s="39">
        <v>27</v>
      </c>
      <c r="AX64" s="92">
        <v>1</v>
      </c>
      <c r="AZ64" s="112">
        <v>61</v>
      </c>
      <c r="BA64" s="5">
        <v>3</v>
      </c>
      <c r="BB64" s="5">
        <v>4</v>
      </c>
      <c r="BD64" s="10">
        <v>61</v>
      </c>
      <c r="BE64" s="10">
        <v>42</v>
      </c>
      <c r="BF64" s="10">
        <v>2</v>
      </c>
      <c r="BG64" s="10">
        <v>7</v>
      </c>
      <c r="BH64" s="10">
        <v>1</v>
      </c>
    </row>
    <row r="65" spans="47:60" x14ac:dyDescent="0.35">
      <c r="AU65" s="11">
        <v>62</v>
      </c>
      <c r="AV65" s="38" t="s">
        <v>110</v>
      </c>
      <c r="AW65" s="39">
        <v>28</v>
      </c>
      <c r="AX65" s="92">
        <v>1</v>
      </c>
      <c r="AZ65" s="112">
        <v>62</v>
      </c>
      <c r="BA65" s="5">
        <v>5</v>
      </c>
      <c r="BB65" s="5">
        <v>1</v>
      </c>
      <c r="BD65" s="10">
        <v>62</v>
      </c>
      <c r="BE65" s="10">
        <v>43</v>
      </c>
      <c r="BF65" s="10">
        <v>3</v>
      </c>
      <c r="BG65" s="10">
        <v>7</v>
      </c>
      <c r="BH65" s="10">
        <v>3</v>
      </c>
    </row>
    <row r="66" spans="47:60" x14ac:dyDescent="0.35">
      <c r="AU66" s="11">
        <v>63</v>
      </c>
      <c r="AV66" s="38" t="s">
        <v>111</v>
      </c>
      <c r="AW66" s="39">
        <v>29</v>
      </c>
      <c r="AX66" s="92">
        <v>2</v>
      </c>
      <c r="AZ66" s="112">
        <v>63</v>
      </c>
      <c r="BA66" s="5">
        <v>1</v>
      </c>
      <c r="BB66" s="5">
        <v>3</v>
      </c>
      <c r="BD66" s="10">
        <v>63</v>
      </c>
      <c r="BE66" s="10">
        <v>44</v>
      </c>
      <c r="BF66" s="10">
        <v>4</v>
      </c>
      <c r="BG66" s="10">
        <v>2</v>
      </c>
      <c r="BH66" s="10">
        <v>6</v>
      </c>
    </row>
    <row r="67" spans="47:60" x14ac:dyDescent="0.35">
      <c r="AU67" s="11">
        <v>64</v>
      </c>
      <c r="AV67" s="38" t="s">
        <v>112</v>
      </c>
      <c r="AW67" s="39">
        <v>118</v>
      </c>
      <c r="AX67" s="92">
        <v>2</v>
      </c>
      <c r="AZ67" s="112">
        <v>64</v>
      </c>
      <c r="BA67" s="5">
        <v>3</v>
      </c>
      <c r="BB67" s="5">
        <v>2</v>
      </c>
      <c r="BD67" s="10">
        <v>64</v>
      </c>
      <c r="BE67" s="10">
        <v>45</v>
      </c>
      <c r="BF67" s="10">
        <v>2</v>
      </c>
      <c r="BG67" s="10">
        <v>2</v>
      </c>
      <c r="BH67" s="10">
        <v>5</v>
      </c>
    </row>
    <row r="68" spans="47:60" x14ac:dyDescent="0.35">
      <c r="AU68" s="11">
        <v>65</v>
      </c>
      <c r="AV68" s="38" t="s">
        <v>113</v>
      </c>
      <c r="AW68" s="39">
        <v>65</v>
      </c>
      <c r="AX68" s="92">
        <v>2</v>
      </c>
      <c r="AZ68" s="112">
        <v>65</v>
      </c>
      <c r="BA68" s="5">
        <v>6</v>
      </c>
      <c r="BB68" s="5">
        <v>2</v>
      </c>
      <c r="BD68" s="10">
        <v>65</v>
      </c>
      <c r="BE68" s="10">
        <v>46</v>
      </c>
      <c r="BF68" s="10">
        <v>1</v>
      </c>
      <c r="BG68" s="10">
        <v>1</v>
      </c>
      <c r="BH68" s="10">
        <v>6</v>
      </c>
    </row>
    <row r="69" spans="47:60" x14ac:dyDescent="0.35">
      <c r="AU69" s="11">
        <v>66</v>
      </c>
      <c r="AV69" s="38" t="s">
        <v>114</v>
      </c>
      <c r="AW69" s="39">
        <v>60</v>
      </c>
      <c r="AX69" s="92">
        <v>1</v>
      </c>
      <c r="AZ69" s="112">
        <v>66</v>
      </c>
      <c r="BA69" s="5">
        <v>5</v>
      </c>
      <c r="BB69" s="5">
        <v>4</v>
      </c>
      <c r="BD69" s="10">
        <v>66</v>
      </c>
      <c r="BE69" s="10">
        <v>47</v>
      </c>
      <c r="BF69" s="10">
        <v>5</v>
      </c>
      <c r="BG69" s="10">
        <v>2</v>
      </c>
      <c r="BH69" s="10">
        <v>1</v>
      </c>
    </row>
    <row r="70" spans="47:60" x14ac:dyDescent="0.35">
      <c r="AU70" s="11">
        <v>67</v>
      </c>
      <c r="AV70" s="40" t="s">
        <v>115</v>
      </c>
      <c r="AW70" s="41">
        <v>94</v>
      </c>
      <c r="AX70" s="92">
        <v>2</v>
      </c>
      <c r="AZ70" s="112">
        <v>67</v>
      </c>
      <c r="BA70" s="5">
        <v>6</v>
      </c>
      <c r="BB70" s="5">
        <v>7</v>
      </c>
      <c r="BD70" s="10">
        <v>67</v>
      </c>
      <c r="BE70" s="10">
        <v>48</v>
      </c>
      <c r="BF70" s="10">
        <v>3</v>
      </c>
      <c r="BG70" s="10">
        <v>8</v>
      </c>
      <c r="BH70" s="10">
        <v>4</v>
      </c>
    </row>
    <row r="71" spans="47:60" x14ac:dyDescent="0.35">
      <c r="AU71" s="11">
        <v>68</v>
      </c>
      <c r="AV71" s="40" t="s">
        <v>116</v>
      </c>
      <c r="AW71" s="41">
        <v>57</v>
      </c>
      <c r="AX71" s="92">
        <v>2</v>
      </c>
      <c r="AZ71" s="112">
        <v>68</v>
      </c>
      <c r="BA71" s="5">
        <v>3</v>
      </c>
      <c r="BB71" s="5">
        <v>5</v>
      </c>
      <c r="BD71" s="10">
        <v>68</v>
      </c>
      <c r="BE71" s="10">
        <v>49</v>
      </c>
      <c r="BF71" s="10">
        <v>1</v>
      </c>
      <c r="BG71" s="10">
        <v>6</v>
      </c>
      <c r="BH71" s="10">
        <v>6</v>
      </c>
    </row>
    <row r="72" spans="47:60" x14ac:dyDescent="0.35">
      <c r="AU72" s="11">
        <v>69</v>
      </c>
      <c r="AV72" s="40" t="s">
        <v>117</v>
      </c>
      <c r="AW72" s="41">
        <v>37</v>
      </c>
      <c r="AX72" s="92">
        <v>2</v>
      </c>
      <c r="AZ72" s="112">
        <v>69</v>
      </c>
      <c r="BA72" s="5">
        <v>5</v>
      </c>
      <c r="BB72" s="5">
        <v>7</v>
      </c>
      <c r="BD72" s="10">
        <v>69</v>
      </c>
      <c r="BE72" s="10">
        <v>49</v>
      </c>
      <c r="BF72" s="10">
        <v>4</v>
      </c>
      <c r="BG72" s="10">
        <v>6</v>
      </c>
      <c r="BH72" s="10">
        <v>6</v>
      </c>
    </row>
    <row r="73" spans="47:60" x14ac:dyDescent="0.35">
      <c r="AU73" s="11">
        <v>70</v>
      </c>
      <c r="AV73" s="40" t="s">
        <v>118</v>
      </c>
      <c r="AW73" s="41">
        <v>98</v>
      </c>
      <c r="AX73" s="92">
        <v>2</v>
      </c>
      <c r="AZ73" s="112">
        <v>70</v>
      </c>
      <c r="BA73" s="5">
        <v>3</v>
      </c>
      <c r="BB73" s="5">
        <v>7</v>
      </c>
      <c r="BD73" s="10">
        <v>70</v>
      </c>
      <c r="BE73" s="10">
        <v>49</v>
      </c>
      <c r="BF73" s="10">
        <v>5</v>
      </c>
      <c r="BG73" s="10">
        <v>6</v>
      </c>
      <c r="BH73" s="10">
        <v>6</v>
      </c>
    </row>
    <row r="74" spans="47:60" x14ac:dyDescent="0.35">
      <c r="AU74" s="11">
        <v>71</v>
      </c>
      <c r="AV74" s="40" t="s">
        <v>119</v>
      </c>
      <c r="AW74" s="41">
        <v>92</v>
      </c>
      <c r="AX74" s="92">
        <v>1</v>
      </c>
      <c r="AZ74" s="112">
        <v>71</v>
      </c>
      <c r="BA74" s="5">
        <v>8</v>
      </c>
      <c r="BB74" s="5">
        <v>7</v>
      </c>
      <c r="BD74" s="10">
        <v>71</v>
      </c>
      <c r="BE74" s="10">
        <v>50</v>
      </c>
      <c r="BF74" s="10">
        <v>4</v>
      </c>
      <c r="BG74" s="10">
        <v>5</v>
      </c>
      <c r="BH74" s="10">
        <v>6</v>
      </c>
    </row>
    <row r="75" spans="47:60" x14ac:dyDescent="0.35">
      <c r="AU75" s="11">
        <v>72</v>
      </c>
      <c r="AV75" s="40" t="s">
        <v>120</v>
      </c>
      <c r="AW75" s="41">
        <v>68</v>
      </c>
      <c r="AX75" s="92">
        <v>2</v>
      </c>
      <c r="AZ75" s="112">
        <v>72</v>
      </c>
      <c r="BA75" s="5">
        <v>5</v>
      </c>
      <c r="BB75" s="5">
        <v>5</v>
      </c>
      <c r="BD75" s="10">
        <v>72</v>
      </c>
      <c r="BE75" s="10">
        <v>50</v>
      </c>
      <c r="BF75" s="10">
        <v>5</v>
      </c>
      <c r="BG75" s="10">
        <v>5</v>
      </c>
      <c r="BH75" s="10">
        <v>6</v>
      </c>
    </row>
    <row r="76" spans="47:60" x14ac:dyDescent="0.35">
      <c r="AU76" s="11">
        <v>73</v>
      </c>
      <c r="AV76" s="40" t="s">
        <v>121</v>
      </c>
      <c r="AW76" s="41">
        <v>93</v>
      </c>
      <c r="AX76" s="92">
        <v>2</v>
      </c>
      <c r="AZ76" s="112">
        <v>73</v>
      </c>
      <c r="BA76" s="5">
        <v>4</v>
      </c>
      <c r="BB76" s="5">
        <v>4</v>
      </c>
      <c r="BD76" s="10">
        <v>73</v>
      </c>
      <c r="BE76" s="10">
        <v>51</v>
      </c>
      <c r="BF76" s="10">
        <v>5</v>
      </c>
      <c r="BG76" s="10">
        <v>4</v>
      </c>
      <c r="BH76" s="10">
        <v>6</v>
      </c>
    </row>
    <row r="77" spans="47:60" x14ac:dyDescent="0.35">
      <c r="AU77" s="11">
        <v>74</v>
      </c>
      <c r="AV77" s="40" t="s">
        <v>122</v>
      </c>
      <c r="AW77" s="41">
        <v>61</v>
      </c>
      <c r="AX77" s="92">
        <v>2</v>
      </c>
      <c r="AZ77" s="112">
        <v>74</v>
      </c>
      <c r="BA77" s="5">
        <v>3</v>
      </c>
      <c r="BB77" s="5">
        <v>3</v>
      </c>
      <c r="BD77" s="10">
        <v>74</v>
      </c>
      <c r="BE77" s="10">
        <v>51</v>
      </c>
      <c r="BF77" s="10">
        <v>6</v>
      </c>
      <c r="BG77" s="10">
        <v>4</v>
      </c>
      <c r="BH77" s="10">
        <v>6</v>
      </c>
    </row>
    <row r="78" spans="47:60" x14ac:dyDescent="0.35">
      <c r="AU78" s="11">
        <v>75</v>
      </c>
      <c r="AV78" s="40" t="s">
        <v>123</v>
      </c>
      <c r="AW78" s="41">
        <v>66</v>
      </c>
      <c r="AX78" s="92">
        <v>2</v>
      </c>
      <c r="AZ78" s="112">
        <v>75</v>
      </c>
      <c r="BA78" s="5">
        <v>6</v>
      </c>
      <c r="BB78" s="5">
        <v>1</v>
      </c>
      <c r="BD78" s="10">
        <v>75</v>
      </c>
      <c r="BE78" s="10">
        <v>52</v>
      </c>
      <c r="BF78" s="10">
        <v>5</v>
      </c>
      <c r="BG78" s="10">
        <v>3</v>
      </c>
      <c r="BH78" s="10">
        <v>1</v>
      </c>
    </row>
    <row r="79" spans="47:60" x14ac:dyDescent="0.35">
      <c r="AU79" s="11">
        <v>76</v>
      </c>
      <c r="AV79" s="40" t="s">
        <v>124</v>
      </c>
      <c r="AW79" s="41">
        <v>65</v>
      </c>
      <c r="AX79" s="92">
        <v>2</v>
      </c>
      <c r="AZ79" s="112">
        <v>76</v>
      </c>
      <c r="BA79" s="5">
        <v>2</v>
      </c>
      <c r="BB79" s="5">
        <v>6</v>
      </c>
      <c r="BD79" s="10">
        <v>76</v>
      </c>
      <c r="BE79" s="10">
        <v>53</v>
      </c>
      <c r="BF79" s="10">
        <v>5</v>
      </c>
      <c r="BG79" s="10">
        <v>8</v>
      </c>
      <c r="BH79" s="10">
        <v>3</v>
      </c>
    </row>
    <row r="80" spans="47:60" x14ac:dyDescent="0.35">
      <c r="AU80" s="11">
        <v>77</v>
      </c>
      <c r="AV80" s="40" t="s">
        <v>125</v>
      </c>
      <c r="AW80" s="41">
        <v>26</v>
      </c>
      <c r="AX80" s="92">
        <v>2</v>
      </c>
      <c r="AZ80" s="112">
        <v>77</v>
      </c>
      <c r="BA80" s="5">
        <v>5</v>
      </c>
      <c r="BB80" s="5">
        <v>3</v>
      </c>
      <c r="BD80" s="10">
        <v>77</v>
      </c>
      <c r="BE80" s="10">
        <v>54</v>
      </c>
      <c r="BF80" s="10">
        <v>2</v>
      </c>
      <c r="BG80" s="10">
        <v>2</v>
      </c>
      <c r="BH80" s="10">
        <v>4</v>
      </c>
    </row>
    <row r="81" spans="47:60" x14ac:dyDescent="0.35">
      <c r="AU81" s="11">
        <v>78</v>
      </c>
      <c r="AV81" s="40" t="s">
        <v>126</v>
      </c>
      <c r="AW81" s="41">
        <v>27</v>
      </c>
      <c r="AX81" s="92">
        <v>2</v>
      </c>
      <c r="AZ81" s="112">
        <v>78</v>
      </c>
      <c r="BA81" s="5">
        <v>1</v>
      </c>
      <c r="BB81" s="5">
        <v>6</v>
      </c>
      <c r="BD81" s="10">
        <v>78</v>
      </c>
      <c r="BE81" s="10">
        <v>54</v>
      </c>
      <c r="BF81" s="10">
        <v>3</v>
      </c>
      <c r="BG81" s="10">
        <v>2</v>
      </c>
      <c r="BH81" s="10">
        <v>4</v>
      </c>
    </row>
    <row r="82" spans="47:60" x14ac:dyDescent="0.35">
      <c r="AU82" s="11">
        <v>79</v>
      </c>
      <c r="AV82" s="40" t="s">
        <v>127</v>
      </c>
      <c r="AW82" s="41">
        <v>28</v>
      </c>
      <c r="AX82" s="92">
        <v>2</v>
      </c>
      <c r="AZ82" s="112">
        <v>79</v>
      </c>
      <c r="BA82" s="5">
        <v>7</v>
      </c>
      <c r="BB82" s="5">
        <v>7</v>
      </c>
      <c r="BD82" s="10">
        <v>79</v>
      </c>
      <c r="BE82" s="10">
        <v>55</v>
      </c>
      <c r="BF82" s="10">
        <v>5</v>
      </c>
      <c r="BG82" s="10">
        <v>7</v>
      </c>
      <c r="BH82" s="10">
        <v>1</v>
      </c>
    </row>
    <row r="83" spans="47:60" x14ac:dyDescent="0.35">
      <c r="AU83" s="11">
        <v>80</v>
      </c>
      <c r="AV83" s="40" t="s">
        <v>128</v>
      </c>
      <c r="AW83" s="41">
        <v>26</v>
      </c>
      <c r="AX83" s="92">
        <v>2</v>
      </c>
      <c r="AZ83" s="112">
        <v>80</v>
      </c>
      <c r="BA83" s="5">
        <v>2</v>
      </c>
      <c r="BB83" s="5">
        <v>7</v>
      </c>
      <c r="BD83" s="10">
        <v>80</v>
      </c>
      <c r="BE83" s="10">
        <v>56</v>
      </c>
      <c r="BF83" s="10">
        <v>1</v>
      </c>
      <c r="BG83" s="10">
        <v>4</v>
      </c>
      <c r="BH83" s="10">
        <v>5</v>
      </c>
    </row>
    <row r="84" spans="47:60" x14ac:dyDescent="0.35">
      <c r="AU84" s="11">
        <v>81</v>
      </c>
      <c r="AV84" s="40" t="s">
        <v>129</v>
      </c>
      <c r="AW84" s="41">
        <v>26</v>
      </c>
      <c r="AX84" s="92">
        <v>2</v>
      </c>
      <c r="AZ84" s="112">
        <v>81</v>
      </c>
      <c r="BA84" s="5">
        <v>7</v>
      </c>
      <c r="BB84" s="5">
        <v>4</v>
      </c>
      <c r="BD84" s="10">
        <v>81</v>
      </c>
      <c r="BE84" s="10">
        <v>56</v>
      </c>
      <c r="BF84" s="10">
        <v>4</v>
      </c>
      <c r="BG84" s="10">
        <v>4</v>
      </c>
      <c r="BH84" s="10">
        <v>5</v>
      </c>
    </row>
    <row r="85" spans="47:60" x14ac:dyDescent="0.35">
      <c r="AU85" s="11">
        <v>82</v>
      </c>
      <c r="AV85" s="42" t="s">
        <v>130</v>
      </c>
      <c r="AW85" s="43">
        <v>89</v>
      </c>
      <c r="AX85" s="92">
        <v>2</v>
      </c>
      <c r="AZ85" s="112">
        <v>82</v>
      </c>
      <c r="BA85" s="5">
        <v>2</v>
      </c>
      <c r="BB85" s="5">
        <v>2</v>
      </c>
      <c r="BD85" s="10">
        <v>82</v>
      </c>
      <c r="BE85" s="10">
        <v>57</v>
      </c>
      <c r="BF85" s="10">
        <v>2</v>
      </c>
      <c r="BG85" s="10">
        <v>4</v>
      </c>
      <c r="BH85" s="10">
        <v>7</v>
      </c>
    </row>
    <row r="86" spans="47:60" x14ac:dyDescent="0.35">
      <c r="AU86" s="11">
        <v>83</v>
      </c>
      <c r="AV86" s="42" t="s">
        <v>131</v>
      </c>
      <c r="AW86" s="43">
        <v>67</v>
      </c>
      <c r="AX86" s="92">
        <v>1</v>
      </c>
      <c r="AZ86" s="112">
        <v>83</v>
      </c>
      <c r="BA86" s="5">
        <v>8</v>
      </c>
      <c r="BB86" s="5">
        <v>3</v>
      </c>
      <c r="BD86" s="10">
        <v>83</v>
      </c>
      <c r="BE86" s="10">
        <v>57</v>
      </c>
      <c r="BF86" s="10">
        <v>3</v>
      </c>
      <c r="BG86" s="10">
        <v>4</v>
      </c>
      <c r="BH86" s="10">
        <v>7</v>
      </c>
    </row>
    <row r="87" spans="47:60" x14ac:dyDescent="0.35">
      <c r="AU87" s="11">
        <v>84</v>
      </c>
      <c r="AV87" s="44" t="s">
        <v>132</v>
      </c>
      <c r="AW87" s="43">
        <v>67</v>
      </c>
      <c r="AX87" s="92">
        <v>1</v>
      </c>
      <c r="AZ87" s="112">
        <v>84</v>
      </c>
      <c r="BA87" s="5">
        <v>6</v>
      </c>
      <c r="BB87" s="5">
        <v>6</v>
      </c>
      <c r="BD87" s="10">
        <v>84</v>
      </c>
      <c r="BE87" s="10">
        <v>57</v>
      </c>
      <c r="BF87" s="10">
        <v>4</v>
      </c>
      <c r="BG87" s="10">
        <v>4</v>
      </c>
      <c r="BH87" s="10">
        <v>7</v>
      </c>
    </row>
    <row r="88" spans="47:60" x14ac:dyDescent="0.35">
      <c r="AU88" s="11">
        <v>85</v>
      </c>
      <c r="AV88" s="44" t="s">
        <v>133</v>
      </c>
      <c r="AW88" s="43">
        <v>77</v>
      </c>
      <c r="AX88" s="92">
        <v>1</v>
      </c>
      <c r="AZ88" s="112">
        <v>85</v>
      </c>
      <c r="BA88" s="5">
        <v>5</v>
      </c>
      <c r="BB88" s="5">
        <v>6</v>
      </c>
      <c r="BD88" s="10">
        <v>85</v>
      </c>
      <c r="BE88" s="10">
        <v>58</v>
      </c>
      <c r="BF88" s="10">
        <v>2</v>
      </c>
      <c r="BG88" s="10">
        <v>1</v>
      </c>
      <c r="BH88" s="10">
        <v>7</v>
      </c>
    </row>
    <row r="89" spans="47:60" x14ac:dyDescent="0.35">
      <c r="AU89" s="11">
        <v>86</v>
      </c>
      <c r="AV89" s="42" t="s">
        <v>134</v>
      </c>
      <c r="AW89" s="43">
        <v>113</v>
      </c>
      <c r="AX89" s="92">
        <v>2</v>
      </c>
      <c r="AZ89" s="112">
        <v>86</v>
      </c>
      <c r="BA89" s="5">
        <v>6</v>
      </c>
      <c r="BB89" s="5">
        <v>4</v>
      </c>
      <c r="BD89" s="10">
        <v>86</v>
      </c>
      <c r="BE89" s="10">
        <v>59</v>
      </c>
      <c r="BF89" s="10">
        <v>1</v>
      </c>
      <c r="BG89" s="10">
        <v>1</v>
      </c>
      <c r="BH89" s="10">
        <v>7</v>
      </c>
    </row>
    <row r="90" spans="47:60" x14ac:dyDescent="0.35">
      <c r="AU90" s="11">
        <v>87</v>
      </c>
      <c r="AV90" s="44" t="s">
        <v>135</v>
      </c>
      <c r="AW90" s="43">
        <v>35</v>
      </c>
      <c r="AX90" s="92">
        <v>1</v>
      </c>
      <c r="AZ90" s="112">
        <v>87</v>
      </c>
      <c r="BA90" s="5">
        <v>4</v>
      </c>
      <c r="BB90" s="5">
        <v>1</v>
      </c>
      <c r="BD90" s="10">
        <v>87</v>
      </c>
      <c r="BE90" s="10">
        <v>60</v>
      </c>
      <c r="BF90" s="10">
        <v>12</v>
      </c>
      <c r="BG90" s="10">
        <v>3</v>
      </c>
      <c r="BH90" s="10">
        <v>4</v>
      </c>
    </row>
    <row r="91" spans="47:60" x14ac:dyDescent="0.35">
      <c r="AU91" s="11">
        <v>88</v>
      </c>
      <c r="AV91" s="42" t="s">
        <v>136</v>
      </c>
      <c r="AW91" s="43">
        <v>49</v>
      </c>
      <c r="AX91" s="92">
        <v>1</v>
      </c>
      <c r="AZ91" s="112">
        <v>88</v>
      </c>
      <c r="BA91" s="5">
        <v>3</v>
      </c>
      <c r="BB91" s="5">
        <v>5</v>
      </c>
      <c r="BD91" s="10">
        <v>88</v>
      </c>
      <c r="BE91" s="10">
        <v>60</v>
      </c>
      <c r="BF91" s="10">
        <v>14</v>
      </c>
      <c r="BG91" s="10">
        <v>3</v>
      </c>
      <c r="BH91" s="10">
        <v>4</v>
      </c>
    </row>
    <row r="92" spans="47:60" x14ac:dyDescent="0.35">
      <c r="AU92" s="11">
        <v>89</v>
      </c>
      <c r="AV92" s="44" t="s">
        <v>137</v>
      </c>
      <c r="AW92" s="43">
        <v>75</v>
      </c>
      <c r="AX92" s="92">
        <v>1</v>
      </c>
      <c r="AZ92" s="112">
        <v>89</v>
      </c>
      <c r="BA92" s="5">
        <v>5</v>
      </c>
      <c r="BB92" s="5">
        <v>5</v>
      </c>
      <c r="BD92" s="10">
        <v>89</v>
      </c>
      <c r="BE92" s="10">
        <v>61</v>
      </c>
      <c r="BF92" s="10">
        <v>13</v>
      </c>
      <c r="BG92" s="10">
        <v>5</v>
      </c>
      <c r="BH92" s="10">
        <v>1</v>
      </c>
    </row>
    <row r="93" spans="47:60" x14ac:dyDescent="0.35">
      <c r="AU93" s="11">
        <v>90</v>
      </c>
      <c r="AV93" s="42" t="s">
        <v>138</v>
      </c>
      <c r="AW93" s="43">
        <v>98</v>
      </c>
      <c r="AX93" s="92">
        <v>2</v>
      </c>
      <c r="AZ93" s="112">
        <v>90</v>
      </c>
      <c r="BA93" s="5">
        <v>4</v>
      </c>
      <c r="BB93" s="5">
        <v>6</v>
      </c>
      <c r="BD93" s="10">
        <v>90</v>
      </c>
      <c r="BE93" s="10">
        <v>61</v>
      </c>
      <c r="BF93" s="10">
        <v>15</v>
      </c>
      <c r="BG93" s="10">
        <v>5</v>
      </c>
      <c r="BH93" s="10">
        <v>1</v>
      </c>
    </row>
    <row r="94" spans="47:60" x14ac:dyDescent="0.35">
      <c r="AU94" s="11">
        <v>91</v>
      </c>
      <c r="AV94" s="44" t="s">
        <v>139</v>
      </c>
      <c r="AW94" s="43">
        <v>109</v>
      </c>
      <c r="AX94" s="92">
        <v>2</v>
      </c>
      <c r="AZ94" s="112">
        <v>91</v>
      </c>
      <c r="BA94" s="5">
        <v>4</v>
      </c>
      <c r="BB94" s="5">
        <v>2</v>
      </c>
      <c r="BD94" s="10">
        <v>91</v>
      </c>
      <c r="BE94" s="10">
        <v>62</v>
      </c>
      <c r="BF94" s="10">
        <v>14</v>
      </c>
      <c r="BG94" s="10">
        <v>1</v>
      </c>
      <c r="BH94" s="10">
        <v>3</v>
      </c>
    </row>
    <row r="95" spans="47:60" x14ac:dyDescent="0.35">
      <c r="AU95" s="11">
        <v>92</v>
      </c>
      <c r="AV95" s="42" t="s">
        <v>140</v>
      </c>
      <c r="AW95" s="43">
        <v>29</v>
      </c>
      <c r="AX95" s="92">
        <v>2</v>
      </c>
      <c r="AZ95" s="112">
        <v>92</v>
      </c>
      <c r="BA95" s="5">
        <v>3</v>
      </c>
      <c r="BB95" s="5">
        <v>3</v>
      </c>
      <c r="BD95" s="10">
        <v>92</v>
      </c>
      <c r="BE95" s="10">
        <v>62</v>
      </c>
      <c r="BF95" s="10">
        <v>15</v>
      </c>
      <c r="BG95" s="10">
        <v>1</v>
      </c>
      <c r="BH95" s="10">
        <v>3</v>
      </c>
    </row>
    <row r="96" spans="47:60" x14ac:dyDescent="0.35">
      <c r="AU96" s="11">
        <v>93</v>
      </c>
      <c r="AV96" s="44" t="s">
        <v>141</v>
      </c>
      <c r="AW96" s="43">
        <v>39</v>
      </c>
      <c r="AX96" s="92">
        <v>1</v>
      </c>
      <c r="AZ96" s="112">
        <v>93</v>
      </c>
      <c r="BA96" s="5">
        <v>5</v>
      </c>
      <c r="BB96" s="5">
        <v>7</v>
      </c>
      <c r="BD96" s="10">
        <v>93</v>
      </c>
      <c r="BE96" s="10">
        <v>63</v>
      </c>
      <c r="BF96" s="10">
        <v>14</v>
      </c>
      <c r="BG96" s="10">
        <v>3</v>
      </c>
      <c r="BH96" s="10">
        <v>2</v>
      </c>
    </row>
    <row r="97" spans="47:60" x14ac:dyDescent="0.35">
      <c r="AU97" s="11">
        <v>94</v>
      </c>
      <c r="AV97" s="42" t="s">
        <v>142</v>
      </c>
      <c r="AW97" s="43">
        <v>30</v>
      </c>
      <c r="AX97" s="92">
        <v>2</v>
      </c>
      <c r="AZ97" s="112">
        <v>94</v>
      </c>
      <c r="BA97" s="5">
        <v>2</v>
      </c>
      <c r="BB97" s="5">
        <v>1</v>
      </c>
      <c r="BD97" s="10">
        <v>94</v>
      </c>
      <c r="BE97" s="10">
        <v>63</v>
      </c>
      <c r="BF97" s="10">
        <v>15</v>
      </c>
      <c r="BG97" s="10">
        <v>3</v>
      </c>
      <c r="BH97" s="10">
        <v>2</v>
      </c>
    </row>
    <row r="98" spans="47:60" x14ac:dyDescent="0.35">
      <c r="AU98" s="11">
        <v>95</v>
      </c>
      <c r="AV98" s="44" t="s">
        <v>143</v>
      </c>
      <c r="AW98" s="43">
        <v>26</v>
      </c>
      <c r="AX98" s="92">
        <v>2</v>
      </c>
      <c r="AZ98" s="112">
        <v>95</v>
      </c>
      <c r="BA98" s="5">
        <v>3</v>
      </c>
      <c r="BB98" s="5">
        <v>2</v>
      </c>
      <c r="BD98" s="10">
        <v>95</v>
      </c>
      <c r="BE98" s="10">
        <v>64</v>
      </c>
      <c r="BF98" s="10">
        <v>3</v>
      </c>
      <c r="BG98" s="10">
        <v>6</v>
      </c>
      <c r="BH98" s="10">
        <v>2</v>
      </c>
    </row>
    <row r="99" spans="47:60" x14ac:dyDescent="0.35">
      <c r="AU99" s="11">
        <v>96</v>
      </c>
      <c r="AV99" s="42" t="s">
        <v>144</v>
      </c>
      <c r="AW99" s="43">
        <v>26</v>
      </c>
      <c r="AX99" s="92">
        <v>2</v>
      </c>
      <c r="AZ99" s="112">
        <v>96</v>
      </c>
      <c r="BA99" s="5">
        <v>7</v>
      </c>
      <c r="BB99" s="5">
        <v>5</v>
      </c>
      <c r="BD99" s="10">
        <v>96</v>
      </c>
      <c r="BE99" s="10">
        <v>64</v>
      </c>
      <c r="BF99" s="10">
        <v>4</v>
      </c>
      <c r="BG99" s="10">
        <v>6</v>
      </c>
      <c r="BH99" s="10">
        <v>2</v>
      </c>
    </row>
    <row r="100" spans="47:60" x14ac:dyDescent="0.35">
      <c r="AU100" s="11">
        <v>97</v>
      </c>
      <c r="AV100" s="44" t="s">
        <v>145</v>
      </c>
      <c r="AW100" s="43">
        <v>41</v>
      </c>
      <c r="AX100" s="92">
        <v>2</v>
      </c>
      <c r="AZ100" s="112">
        <v>97</v>
      </c>
      <c r="BA100" s="5">
        <v>6</v>
      </c>
      <c r="BB100" s="5">
        <v>7</v>
      </c>
      <c r="BD100" s="10">
        <v>97</v>
      </c>
      <c r="BE100" s="10">
        <v>65</v>
      </c>
      <c r="BF100" s="10">
        <v>4</v>
      </c>
      <c r="BG100" s="10">
        <v>5</v>
      </c>
      <c r="BH100" s="10">
        <v>4</v>
      </c>
    </row>
    <row r="101" spans="47:60" x14ac:dyDescent="0.35">
      <c r="AU101" s="11">
        <v>98</v>
      </c>
      <c r="AV101" s="42" t="s">
        <v>146</v>
      </c>
      <c r="AW101" s="43">
        <v>28</v>
      </c>
      <c r="AX101" s="92">
        <v>2</v>
      </c>
      <c r="AZ101" s="112">
        <v>98</v>
      </c>
      <c r="BA101" s="5">
        <v>3</v>
      </c>
      <c r="BB101" s="5">
        <v>4</v>
      </c>
      <c r="BD101" s="10">
        <v>98</v>
      </c>
      <c r="BE101" s="10">
        <v>66</v>
      </c>
      <c r="BF101" s="10">
        <v>4</v>
      </c>
      <c r="BG101" s="10">
        <v>6</v>
      </c>
      <c r="BH101" s="10">
        <v>7</v>
      </c>
    </row>
    <row r="102" spans="47:60" x14ac:dyDescent="0.35">
      <c r="AU102" s="11">
        <v>99</v>
      </c>
      <c r="AV102" s="44" t="s">
        <v>147</v>
      </c>
      <c r="AW102" s="43">
        <v>33</v>
      </c>
      <c r="AX102" s="92">
        <v>1</v>
      </c>
      <c r="AZ102" s="112">
        <v>99</v>
      </c>
      <c r="BA102" s="5">
        <v>5</v>
      </c>
      <c r="BB102" s="5">
        <v>2</v>
      </c>
      <c r="BD102" s="10">
        <v>99</v>
      </c>
      <c r="BE102" s="10">
        <v>67</v>
      </c>
      <c r="BF102" s="10">
        <v>1</v>
      </c>
      <c r="BG102" s="10">
        <v>3</v>
      </c>
      <c r="BH102" s="10">
        <v>5</v>
      </c>
    </row>
    <row r="103" spans="47:60" x14ac:dyDescent="0.35">
      <c r="AU103" s="11">
        <v>100</v>
      </c>
      <c r="AV103" s="42" t="s">
        <v>148</v>
      </c>
      <c r="AW103" s="43">
        <v>31</v>
      </c>
      <c r="AX103" s="92">
        <v>2</v>
      </c>
      <c r="AZ103" s="112">
        <v>100</v>
      </c>
      <c r="BA103" s="5">
        <v>8</v>
      </c>
      <c r="BB103" s="5">
        <v>6</v>
      </c>
      <c r="BD103" s="10">
        <v>100</v>
      </c>
      <c r="BE103" s="10">
        <v>67</v>
      </c>
      <c r="BF103" s="10">
        <v>5</v>
      </c>
      <c r="BG103" s="10">
        <v>3</v>
      </c>
      <c r="BH103" s="10">
        <v>5</v>
      </c>
    </row>
    <row r="104" spans="47:60" x14ac:dyDescent="0.35">
      <c r="AU104" s="11">
        <v>101</v>
      </c>
      <c r="AV104" s="42" t="s">
        <v>149</v>
      </c>
      <c r="AW104" s="43">
        <v>29</v>
      </c>
      <c r="AX104" s="92">
        <v>1</v>
      </c>
      <c r="AZ104" s="112">
        <v>101</v>
      </c>
      <c r="BA104" s="5">
        <v>1</v>
      </c>
      <c r="BB104" s="5">
        <v>2</v>
      </c>
      <c r="BD104" s="10">
        <v>101</v>
      </c>
      <c r="BE104" s="10">
        <v>68</v>
      </c>
      <c r="BF104" s="10">
        <v>4</v>
      </c>
      <c r="BG104" s="10">
        <v>5</v>
      </c>
      <c r="BH104" s="10">
        <v>7</v>
      </c>
    </row>
    <row r="105" spans="47:60" x14ac:dyDescent="0.35">
      <c r="AU105" s="11">
        <v>102</v>
      </c>
      <c r="AV105" s="44" t="s">
        <v>150</v>
      </c>
      <c r="AW105" s="43">
        <v>33</v>
      </c>
      <c r="AX105" s="92">
        <v>2</v>
      </c>
      <c r="AZ105" s="112">
        <v>102</v>
      </c>
      <c r="BA105" s="5">
        <v>7</v>
      </c>
      <c r="BB105" s="5">
        <v>3</v>
      </c>
      <c r="BD105" s="10">
        <v>102</v>
      </c>
      <c r="BE105" s="10">
        <v>69</v>
      </c>
      <c r="BF105" s="10">
        <v>5</v>
      </c>
      <c r="BG105" s="10">
        <v>3</v>
      </c>
      <c r="BH105" s="10">
        <v>7</v>
      </c>
    </row>
    <row r="106" spans="47:60" x14ac:dyDescent="0.35">
      <c r="AU106" s="11">
        <v>103</v>
      </c>
      <c r="AV106" s="45" t="s">
        <v>151</v>
      </c>
      <c r="AW106" s="30">
        <v>94</v>
      </c>
      <c r="AX106" s="92">
        <v>1</v>
      </c>
      <c r="AZ106" s="112">
        <v>103</v>
      </c>
      <c r="BA106" s="5">
        <v>6</v>
      </c>
      <c r="BB106" s="5">
        <v>7</v>
      </c>
      <c r="BD106" s="10">
        <v>103</v>
      </c>
      <c r="BE106" s="10">
        <v>69</v>
      </c>
      <c r="BF106" s="10">
        <v>7</v>
      </c>
      <c r="BG106" s="10">
        <v>3</v>
      </c>
      <c r="BH106" s="10">
        <v>7</v>
      </c>
    </row>
    <row r="107" spans="47:60" x14ac:dyDescent="0.35">
      <c r="AU107" s="11">
        <v>104</v>
      </c>
      <c r="AV107" s="45" t="s">
        <v>152</v>
      </c>
      <c r="AW107" s="30">
        <v>87</v>
      </c>
      <c r="AX107" s="92">
        <v>1</v>
      </c>
      <c r="AZ107" s="112">
        <v>104</v>
      </c>
      <c r="BA107" s="5">
        <v>5</v>
      </c>
      <c r="BB107" s="5">
        <v>7</v>
      </c>
      <c r="BD107" s="10">
        <v>104</v>
      </c>
      <c r="BE107" s="10">
        <v>70</v>
      </c>
      <c r="BF107" s="10">
        <v>1</v>
      </c>
      <c r="BG107" s="10">
        <v>8</v>
      </c>
      <c r="BH107" s="10">
        <v>7</v>
      </c>
    </row>
    <row r="108" spans="47:60" x14ac:dyDescent="0.35">
      <c r="AU108" s="11">
        <v>105</v>
      </c>
      <c r="AV108" s="45" t="s">
        <v>153</v>
      </c>
      <c r="AW108" s="30">
        <v>76</v>
      </c>
      <c r="AX108" s="92">
        <v>1</v>
      </c>
      <c r="AZ108" s="112">
        <v>105</v>
      </c>
      <c r="BA108" s="5">
        <v>4</v>
      </c>
      <c r="BB108" s="5">
        <v>7</v>
      </c>
      <c r="BD108" s="10">
        <v>105</v>
      </c>
      <c r="BE108" s="10">
        <v>70</v>
      </c>
      <c r="BF108" s="10">
        <v>5</v>
      </c>
      <c r="BG108" s="10">
        <v>8</v>
      </c>
      <c r="BH108" s="10">
        <v>7</v>
      </c>
    </row>
    <row r="109" spans="47:60" x14ac:dyDescent="0.35">
      <c r="AU109" s="11">
        <v>106</v>
      </c>
      <c r="AV109" s="46" t="s">
        <v>154</v>
      </c>
      <c r="AW109" s="30">
        <v>101</v>
      </c>
      <c r="AX109" s="92">
        <v>2</v>
      </c>
      <c r="AZ109" s="112">
        <v>106</v>
      </c>
      <c r="BA109" s="5">
        <v>8</v>
      </c>
      <c r="BB109" s="5">
        <v>6</v>
      </c>
      <c r="BD109" s="10">
        <v>106</v>
      </c>
      <c r="BE109" s="10">
        <v>71</v>
      </c>
      <c r="BF109" s="10">
        <v>1</v>
      </c>
      <c r="BG109" s="10">
        <v>5</v>
      </c>
      <c r="BH109" s="10">
        <v>5</v>
      </c>
    </row>
    <row r="110" spans="47:60" x14ac:dyDescent="0.35">
      <c r="AU110" s="11">
        <v>107</v>
      </c>
      <c r="AV110" s="45" t="s">
        <v>155</v>
      </c>
      <c r="AW110" s="30">
        <v>89</v>
      </c>
      <c r="AX110" s="92">
        <v>1</v>
      </c>
      <c r="AZ110" s="112">
        <v>107</v>
      </c>
      <c r="BA110" s="5">
        <v>8</v>
      </c>
      <c r="BB110" s="5">
        <v>7</v>
      </c>
      <c r="BD110" s="10">
        <v>107</v>
      </c>
      <c r="BE110" s="10">
        <v>71</v>
      </c>
      <c r="BF110" s="10">
        <v>2</v>
      </c>
      <c r="BG110" s="10">
        <v>5</v>
      </c>
      <c r="BH110" s="10">
        <v>5</v>
      </c>
    </row>
    <row r="111" spans="47:60" x14ac:dyDescent="0.35">
      <c r="AU111" s="11">
        <v>108</v>
      </c>
      <c r="AV111" s="46" t="s">
        <v>156</v>
      </c>
      <c r="AW111" s="30">
        <v>92</v>
      </c>
      <c r="AX111" s="92">
        <v>2</v>
      </c>
      <c r="AZ111" s="112">
        <v>108</v>
      </c>
      <c r="BA111" s="5">
        <v>1</v>
      </c>
      <c r="BB111" s="5">
        <v>5</v>
      </c>
      <c r="BD111" s="10">
        <v>108</v>
      </c>
      <c r="BE111" s="10">
        <v>71</v>
      </c>
      <c r="BF111" s="10">
        <v>4</v>
      </c>
      <c r="BG111" s="10">
        <v>5</v>
      </c>
      <c r="BH111" s="10">
        <v>5</v>
      </c>
    </row>
    <row r="112" spans="47:60" x14ac:dyDescent="0.35">
      <c r="AU112" s="11">
        <v>109</v>
      </c>
      <c r="AV112" s="45" t="s">
        <v>157</v>
      </c>
      <c r="AW112" s="30">
        <v>97</v>
      </c>
      <c r="AX112" s="92">
        <v>2</v>
      </c>
      <c r="AZ112" s="112">
        <v>109</v>
      </c>
      <c r="BA112" s="5">
        <v>2</v>
      </c>
      <c r="BB112" s="5">
        <v>6</v>
      </c>
      <c r="BD112" s="10">
        <v>109</v>
      </c>
      <c r="BE112" s="10">
        <v>72</v>
      </c>
      <c r="BF112" s="10">
        <v>1</v>
      </c>
      <c r="BG112" s="10">
        <v>4</v>
      </c>
      <c r="BH112" s="10">
        <v>4</v>
      </c>
    </row>
    <row r="113" spans="47:60" x14ac:dyDescent="0.35">
      <c r="AU113" s="11">
        <v>110</v>
      </c>
      <c r="AV113" s="46" t="s">
        <v>158</v>
      </c>
      <c r="AW113" s="30">
        <v>50</v>
      </c>
      <c r="AX113" s="92">
        <v>2</v>
      </c>
      <c r="AZ113" s="112">
        <v>110</v>
      </c>
      <c r="BA113" s="5">
        <v>5</v>
      </c>
      <c r="BB113" s="5">
        <v>3</v>
      </c>
      <c r="BD113" s="10">
        <v>110</v>
      </c>
      <c r="BE113" s="10">
        <v>72</v>
      </c>
      <c r="BF113" s="10">
        <v>4</v>
      </c>
      <c r="BG113" s="10">
        <v>4</v>
      </c>
      <c r="BH113" s="10">
        <v>4</v>
      </c>
    </row>
    <row r="114" spans="47:60" x14ac:dyDescent="0.35">
      <c r="AU114" s="11">
        <v>111</v>
      </c>
      <c r="AV114" s="46" t="s">
        <v>159</v>
      </c>
      <c r="AW114" s="30">
        <v>36</v>
      </c>
      <c r="AX114" s="92">
        <v>2</v>
      </c>
      <c r="AZ114" s="112">
        <v>111</v>
      </c>
      <c r="BA114" s="5">
        <v>2</v>
      </c>
      <c r="BB114" s="5">
        <v>5</v>
      </c>
      <c r="BD114" s="10">
        <v>111</v>
      </c>
      <c r="BE114" s="10">
        <v>72</v>
      </c>
      <c r="BF114" s="10">
        <v>5</v>
      </c>
      <c r="BG114" s="10">
        <v>4</v>
      </c>
      <c r="BH114" s="10">
        <v>4</v>
      </c>
    </row>
    <row r="115" spans="47:60" x14ac:dyDescent="0.35">
      <c r="AU115" s="11">
        <v>112</v>
      </c>
      <c r="AV115" s="45" t="s">
        <v>160</v>
      </c>
      <c r="AW115" s="30">
        <v>44</v>
      </c>
      <c r="AX115" s="92">
        <v>2</v>
      </c>
      <c r="AZ115" s="112">
        <v>112</v>
      </c>
      <c r="BA115" s="5">
        <v>2</v>
      </c>
      <c r="BB115" s="5">
        <v>3</v>
      </c>
      <c r="BD115" s="10">
        <v>112</v>
      </c>
      <c r="BE115" s="10">
        <v>73</v>
      </c>
      <c r="BF115" s="10">
        <v>2</v>
      </c>
      <c r="BG115" s="10">
        <v>3</v>
      </c>
      <c r="BH115" s="10">
        <v>3</v>
      </c>
    </row>
    <row r="116" spans="47:60" x14ac:dyDescent="0.35">
      <c r="AU116" s="11">
        <v>113</v>
      </c>
      <c r="AV116" s="46" t="s">
        <v>161</v>
      </c>
      <c r="AW116" s="30">
        <v>46</v>
      </c>
      <c r="AX116" s="92">
        <v>1</v>
      </c>
      <c r="AZ116" s="112">
        <v>113</v>
      </c>
      <c r="BA116" s="5">
        <v>1</v>
      </c>
      <c r="BB116" s="5">
        <v>1</v>
      </c>
      <c r="BD116" s="10">
        <v>113</v>
      </c>
      <c r="BE116" s="10">
        <v>73</v>
      </c>
      <c r="BF116" s="10">
        <v>4</v>
      </c>
      <c r="BG116" s="10">
        <v>3</v>
      </c>
      <c r="BH116" s="10">
        <v>3</v>
      </c>
    </row>
    <row r="117" spans="47:60" x14ac:dyDescent="0.35">
      <c r="AU117" s="11">
        <v>114</v>
      </c>
      <c r="AV117" s="45" t="s">
        <v>162</v>
      </c>
      <c r="AW117" s="30">
        <v>43</v>
      </c>
      <c r="AX117" s="92">
        <v>2</v>
      </c>
      <c r="AZ117" s="112">
        <v>114</v>
      </c>
      <c r="BA117" s="5">
        <v>6</v>
      </c>
      <c r="BB117" s="5">
        <v>6</v>
      </c>
      <c r="BD117" s="10">
        <v>114</v>
      </c>
      <c r="BE117" s="10">
        <v>74</v>
      </c>
      <c r="BF117" s="10">
        <v>1</v>
      </c>
      <c r="BG117" s="10">
        <v>6</v>
      </c>
      <c r="BH117" s="10">
        <v>1</v>
      </c>
    </row>
    <row r="118" spans="47:60" x14ac:dyDescent="0.35">
      <c r="AU118" s="11">
        <v>115</v>
      </c>
      <c r="AV118" s="46" t="s">
        <v>163</v>
      </c>
      <c r="AW118" s="30">
        <v>46</v>
      </c>
      <c r="AX118" s="92">
        <v>2</v>
      </c>
      <c r="AZ118" s="112">
        <v>115</v>
      </c>
      <c r="BA118" s="5">
        <v>6</v>
      </c>
      <c r="BB118" s="5">
        <v>3</v>
      </c>
      <c r="BD118" s="10">
        <v>115</v>
      </c>
      <c r="BE118" s="10">
        <v>75</v>
      </c>
      <c r="BF118" s="10">
        <v>1</v>
      </c>
      <c r="BG118" s="10">
        <v>2</v>
      </c>
      <c r="BH118" s="10">
        <v>6</v>
      </c>
    </row>
    <row r="119" spans="47:60" x14ac:dyDescent="0.35">
      <c r="AU119" s="11">
        <v>116</v>
      </c>
      <c r="AV119" s="45" t="s">
        <v>164</v>
      </c>
      <c r="AW119" s="30">
        <v>42</v>
      </c>
      <c r="AX119" s="92">
        <v>2</v>
      </c>
      <c r="AZ119" s="112">
        <v>116</v>
      </c>
      <c r="BA119" s="5">
        <v>3</v>
      </c>
      <c r="BB119" s="5">
        <v>7</v>
      </c>
      <c r="BD119" s="10">
        <v>116</v>
      </c>
      <c r="BE119" s="10">
        <v>76</v>
      </c>
      <c r="BF119" s="10">
        <v>3</v>
      </c>
      <c r="BG119" s="10">
        <v>5</v>
      </c>
      <c r="BH119" s="10">
        <v>3</v>
      </c>
    </row>
    <row r="120" spans="47:60" x14ac:dyDescent="0.35">
      <c r="AU120" s="11">
        <v>117</v>
      </c>
      <c r="AV120" s="47" t="s">
        <v>247</v>
      </c>
      <c r="AW120" s="30">
        <v>44</v>
      </c>
      <c r="AX120" s="92">
        <v>2</v>
      </c>
      <c r="AZ120" s="112">
        <v>117</v>
      </c>
      <c r="BA120" s="5">
        <v>3</v>
      </c>
      <c r="BB120" s="5">
        <v>3</v>
      </c>
      <c r="BD120" s="10">
        <v>117</v>
      </c>
      <c r="BE120" s="10">
        <v>77</v>
      </c>
      <c r="BF120" s="10">
        <v>1</v>
      </c>
      <c r="BG120" s="10">
        <v>1</v>
      </c>
      <c r="BH120" s="10">
        <v>6</v>
      </c>
    </row>
    <row r="121" spans="47:60" x14ac:dyDescent="0.35">
      <c r="AU121" s="11">
        <v>118</v>
      </c>
      <c r="AV121" s="45" t="s">
        <v>165</v>
      </c>
      <c r="AW121" s="30">
        <v>44</v>
      </c>
      <c r="AX121" s="92">
        <v>2</v>
      </c>
      <c r="AZ121" s="112">
        <v>118</v>
      </c>
      <c r="BA121" s="5">
        <v>7</v>
      </c>
      <c r="BB121" s="5">
        <v>1</v>
      </c>
      <c r="BD121" s="10">
        <v>118</v>
      </c>
      <c r="BE121" s="10">
        <v>78</v>
      </c>
      <c r="BF121" s="10">
        <v>4</v>
      </c>
      <c r="BG121" s="10">
        <v>7</v>
      </c>
      <c r="BH121" s="10">
        <v>7</v>
      </c>
    </row>
    <row r="122" spans="47:60" x14ac:dyDescent="0.35">
      <c r="AU122" s="11">
        <v>119</v>
      </c>
      <c r="AV122" s="46" t="s">
        <v>166</v>
      </c>
      <c r="AW122" s="30">
        <v>18</v>
      </c>
      <c r="AX122" s="92">
        <v>2</v>
      </c>
      <c r="AZ122" s="112">
        <v>119</v>
      </c>
      <c r="BA122" s="5">
        <v>1</v>
      </c>
      <c r="BB122" s="5">
        <v>2</v>
      </c>
      <c r="BD122" s="10">
        <v>119</v>
      </c>
      <c r="BE122" s="10">
        <v>79</v>
      </c>
      <c r="BF122" s="10">
        <v>2</v>
      </c>
      <c r="BG122" s="10">
        <v>2</v>
      </c>
      <c r="BH122" s="10">
        <v>7</v>
      </c>
    </row>
    <row r="123" spans="47:60" x14ac:dyDescent="0.35">
      <c r="AU123" s="11">
        <v>120</v>
      </c>
      <c r="AV123" s="46" t="s">
        <v>167</v>
      </c>
      <c r="AW123" s="30">
        <v>35</v>
      </c>
      <c r="AX123" s="92">
        <v>2</v>
      </c>
      <c r="AZ123" s="112">
        <v>120</v>
      </c>
      <c r="BA123" s="5">
        <v>4</v>
      </c>
      <c r="BB123" s="5">
        <v>2</v>
      </c>
      <c r="BD123" s="10">
        <v>120</v>
      </c>
      <c r="BE123" s="10">
        <v>80</v>
      </c>
      <c r="BF123" s="10">
        <v>2</v>
      </c>
      <c r="BG123" s="10">
        <v>7</v>
      </c>
      <c r="BH123" s="10">
        <v>4</v>
      </c>
    </row>
    <row r="124" spans="47:60" x14ac:dyDescent="0.35">
      <c r="AU124" s="11">
        <v>121</v>
      </c>
      <c r="AV124" s="46" t="s">
        <v>168</v>
      </c>
      <c r="AW124" s="30">
        <v>56</v>
      </c>
      <c r="AX124" s="92">
        <v>2</v>
      </c>
      <c r="AZ124" s="112">
        <v>121</v>
      </c>
      <c r="BA124" s="5">
        <v>6</v>
      </c>
      <c r="BB124" s="5">
        <v>2</v>
      </c>
      <c r="BD124" s="10">
        <v>121</v>
      </c>
      <c r="BE124" s="10">
        <v>81</v>
      </c>
      <c r="BF124" s="10">
        <v>4</v>
      </c>
      <c r="BG124" s="10">
        <v>2</v>
      </c>
      <c r="BH124" s="10">
        <v>2</v>
      </c>
    </row>
    <row r="125" spans="47:60" x14ac:dyDescent="0.35">
      <c r="AU125" s="11">
        <v>122</v>
      </c>
      <c r="AV125" s="46" t="s">
        <v>169</v>
      </c>
      <c r="AW125" s="30">
        <v>50</v>
      </c>
      <c r="AX125" s="92">
        <v>2</v>
      </c>
      <c r="AZ125" s="112">
        <v>122</v>
      </c>
      <c r="BA125" s="5">
        <v>5</v>
      </c>
      <c r="BB125" s="5">
        <v>2</v>
      </c>
      <c r="BD125" s="10">
        <v>122</v>
      </c>
      <c r="BE125" s="10">
        <v>82</v>
      </c>
      <c r="BF125" s="10">
        <v>1</v>
      </c>
      <c r="BG125" s="10">
        <v>8</v>
      </c>
      <c r="BH125" s="10">
        <v>3</v>
      </c>
    </row>
    <row r="126" spans="47:60" x14ac:dyDescent="0.35">
      <c r="AU126" s="11">
        <v>123</v>
      </c>
      <c r="AV126" s="46" t="s">
        <v>170</v>
      </c>
      <c r="AW126" s="30">
        <v>39</v>
      </c>
      <c r="AX126" s="92">
        <v>1</v>
      </c>
      <c r="AZ126" s="112">
        <v>123</v>
      </c>
      <c r="BA126" s="5">
        <v>2</v>
      </c>
      <c r="BB126" s="5">
        <v>2</v>
      </c>
      <c r="BD126" s="10">
        <v>123</v>
      </c>
      <c r="BE126" s="10">
        <v>82</v>
      </c>
      <c r="BF126" s="10">
        <v>2</v>
      </c>
      <c r="BG126" s="10">
        <v>8</v>
      </c>
      <c r="BH126" s="10">
        <v>3</v>
      </c>
    </row>
    <row r="127" spans="47:60" x14ac:dyDescent="0.35">
      <c r="AU127" s="11">
        <v>124</v>
      </c>
      <c r="AV127" s="46" t="s">
        <v>171</v>
      </c>
      <c r="AW127" s="30">
        <v>15</v>
      </c>
      <c r="AX127" s="92">
        <v>1</v>
      </c>
      <c r="AZ127" s="112">
        <v>124</v>
      </c>
      <c r="BA127" s="5">
        <v>5</v>
      </c>
      <c r="BB127" s="5">
        <v>5</v>
      </c>
      <c r="BD127" s="10">
        <v>124</v>
      </c>
      <c r="BE127" s="10">
        <v>83</v>
      </c>
      <c r="BF127" s="10">
        <v>1</v>
      </c>
      <c r="BG127" s="10">
        <v>6</v>
      </c>
      <c r="BH127" s="10">
        <v>6</v>
      </c>
    </row>
    <row r="128" spans="47:60" ht="15.5" x14ac:dyDescent="0.35">
      <c r="AU128" s="11">
        <v>125</v>
      </c>
      <c r="AV128" s="48" t="s">
        <v>172</v>
      </c>
      <c r="AW128" s="49">
        <v>70</v>
      </c>
      <c r="AX128" s="92">
        <v>1</v>
      </c>
      <c r="AZ128" s="112">
        <v>125</v>
      </c>
      <c r="BA128" s="5">
        <v>6</v>
      </c>
      <c r="BB128" s="5">
        <v>7</v>
      </c>
      <c r="BD128" s="10">
        <v>125</v>
      </c>
      <c r="BE128" s="10">
        <v>83</v>
      </c>
      <c r="BF128" s="10">
        <v>7</v>
      </c>
      <c r="BG128" s="10">
        <v>6</v>
      </c>
      <c r="BH128" s="10">
        <v>6</v>
      </c>
    </row>
    <row r="129" spans="47:60" ht="15.5" x14ac:dyDescent="0.35">
      <c r="AU129" s="11">
        <v>126</v>
      </c>
      <c r="AV129" s="50" t="s">
        <v>173</v>
      </c>
      <c r="AW129" s="49">
        <v>72</v>
      </c>
      <c r="AX129" s="92">
        <v>1</v>
      </c>
      <c r="AZ129" s="112">
        <v>126</v>
      </c>
      <c r="BA129" s="5">
        <v>6</v>
      </c>
      <c r="BB129" s="5">
        <v>7</v>
      </c>
      <c r="BD129" s="10">
        <v>126</v>
      </c>
      <c r="BE129" s="10">
        <v>84</v>
      </c>
      <c r="BF129" s="10">
        <v>1</v>
      </c>
      <c r="BG129" s="10">
        <v>5</v>
      </c>
      <c r="BH129" s="10">
        <v>6</v>
      </c>
    </row>
    <row r="130" spans="47:60" ht="15.5" x14ac:dyDescent="0.35">
      <c r="AU130" s="11">
        <v>127</v>
      </c>
      <c r="AV130" s="51" t="s">
        <v>174</v>
      </c>
      <c r="AW130" s="49">
        <v>67</v>
      </c>
      <c r="AX130" s="92">
        <v>1</v>
      </c>
      <c r="AZ130" s="112">
        <v>127</v>
      </c>
      <c r="BA130" s="5">
        <v>5</v>
      </c>
      <c r="BB130" s="5">
        <v>7</v>
      </c>
      <c r="BD130" s="10">
        <v>127</v>
      </c>
      <c r="BE130" s="10">
        <v>84</v>
      </c>
      <c r="BF130" s="10">
        <v>5</v>
      </c>
      <c r="BG130" s="10">
        <v>5</v>
      </c>
      <c r="BH130" s="10">
        <v>6</v>
      </c>
    </row>
    <row r="131" spans="47:60" ht="15.5" x14ac:dyDescent="0.35">
      <c r="AU131" s="11">
        <v>128</v>
      </c>
      <c r="AV131" s="51" t="s">
        <v>175</v>
      </c>
      <c r="AW131" s="49">
        <v>80</v>
      </c>
      <c r="AX131" s="92">
        <v>2</v>
      </c>
      <c r="AZ131" s="112">
        <v>128</v>
      </c>
      <c r="BA131" s="5">
        <v>4</v>
      </c>
      <c r="BB131" s="5">
        <v>7</v>
      </c>
      <c r="BD131" s="10">
        <v>128</v>
      </c>
      <c r="BE131" s="10">
        <v>85</v>
      </c>
      <c r="BF131" s="10">
        <v>2</v>
      </c>
      <c r="BG131" s="10">
        <v>6</v>
      </c>
      <c r="BH131" s="10">
        <v>4</v>
      </c>
    </row>
    <row r="132" spans="47:60" ht="15.5" x14ac:dyDescent="0.35">
      <c r="AU132" s="11">
        <v>129</v>
      </c>
      <c r="AV132" s="48" t="s">
        <v>176</v>
      </c>
      <c r="AW132" s="49">
        <v>75</v>
      </c>
      <c r="AX132" s="92">
        <v>2</v>
      </c>
      <c r="AZ132" s="112">
        <v>129</v>
      </c>
      <c r="BA132" s="5">
        <v>5</v>
      </c>
      <c r="BB132" s="5">
        <v>5</v>
      </c>
      <c r="BD132" s="10">
        <v>129</v>
      </c>
      <c r="BE132" s="10">
        <v>85</v>
      </c>
      <c r="BF132" s="10">
        <v>3</v>
      </c>
      <c r="BG132" s="10">
        <v>6</v>
      </c>
      <c r="BH132" s="10">
        <v>4</v>
      </c>
    </row>
    <row r="133" spans="47:60" ht="15.5" x14ac:dyDescent="0.35">
      <c r="AU133" s="11">
        <v>130</v>
      </c>
      <c r="AV133" s="51" t="s">
        <v>177</v>
      </c>
      <c r="AW133" s="49">
        <v>71</v>
      </c>
      <c r="AX133" s="92">
        <v>1</v>
      </c>
      <c r="AZ133" s="112">
        <v>130</v>
      </c>
      <c r="BA133" s="5">
        <v>5</v>
      </c>
      <c r="BB133" s="5">
        <v>1</v>
      </c>
      <c r="BD133" s="10">
        <v>130</v>
      </c>
      <c r="BE133" s="10">
        <v>86</v>
      </c>
      <c r="BF133" s="10">
        <v>3</v>
      </c>
      <c r="BG133" s="10">
        <v>4</v>
      </c>
      <c r="BH133" s="10">
        <v>1</v>
      </c>
    </row>
    <row r="134" spans="47:60" ht="15.5" x14ac:dyDescent="0.35">
      <c r="AU134" s="11">
        <v>131</v>
      </c>
      <c r="AV134" s="52" t="s">
        <v>178</v>
      </c>
      <c r="AW134" s="49">
        <v>71</v>
      </c>
      <c r="AX134" s="92">
        <v>2</v>
      </c>
      <c r="AZ134" s="112">
        <v>131</v>
      </c>
      <c r="BA134" s="5">
        <v>1</v>
      </c>
      <c r="BB134" s="5">
        <v>7</v>
      </c>
      <c r="BD134" s="10">
        <v>131</v>
      </c>
      <c r="BE134" s="10">
        <v>86</v>
      </c>
      <c r="BF134" s="10">
        <v>5</v>
      </c>
      <c r="BG134" s="10">
        <v>4</v>
      </c>
      <c r="BH134" s="10">
        <v>1</v>
      </c>
    </row>
    <row r="135" spans="47:60" ht="15.5" x14ac:dyDescent="0.35">
      <c r="AU135" s="11">
        <v>132</v>
      </c>
      <c r="AV135" s="52" t="s">
        <v>179</v>
      </c>
      <c r="AW135" s="49">
        <v>50</v>
      </c>
      <c r="AX135" s="92">
        <v>2</v>
      </c>
      <c r="AZ135" s="112">
        <v>132</v>
      </c>
      <c r="BA135" s="5">
        <v>1</v>
      </c>
      <c r="BB135" s="5">
        <v>2</v>
      </c>
      <c r="BD135" s="10">
        <v>132</v>
      </c>
      <c r="BE135" s="10">
        <v>87</v>
      </c>
      <c r="BF135" s="10">
        <v>4</v>
      </c>
      <c r="BG135" s="10">
        <v>3</v>
      </c>
      <c r="BH135" s="10">
        <v>5</v>
      </c>
    </row>
    <row r="136" spans="47:60" ht="16" thickBot="1" x14ac:dyDescent="0.4">
      <c r="AU136" s="11">
        <v>133</v>
      </c>
      <c r="AV136" s="52" t="s">
        <v>180</v>
      </c>
      <c r="AW136" s="49">
        <v>40</v>
      </c>
      <c r="AX136" s="92">
        <v>2</v>
      </c>
      <c r="AZ136" s="112">
        <v>133</v>
      </c>
      <c r="BA136" s="5">
        <v>3</v>
      </c>
      <c r="BB136" s="5">
        <v>5</v>
      </c>
      <c r="BD136" s="10">
        <v>133</v>
      </c>
      <c r="BE136" s="10">
        <v>88</v>
      </c>
      <c r="BF136" s="10">
        <v>2</v>
      </c>
      <c r="BG136" s="10">
        <v>5</v>
      </c>
      <c r="BH136" s="10">
        <v>5</v>
      </c>
    </row>
    <row r="137" spans="47:60" ht="15.5" x14ac:dyDescent="0.35">
      <c r="AU137" s="11">
        <v>134</v>
      </c>
      <c r="AV137" s="53" t="s">
        <v>181</v>
      </c>
      <c r="AW137" s="54">
        <v>28</v>
      </c>
      <c r="AX137" s="92">
        <v>1</v>
      </c>
      <c r="AZ137" s="112">
        <v>134</v>
      </c>
      <c r="BA137" s="5">
        <v>4</v>
      </c>
      <c r="BB137" s="5">
        <v>6</v>
      </c>
      <c r="BD137" s="10">
        <v>134</v>
      </c>
      <c r="BE137" s="10">
        <v>89</v>
      </c>
      <c r="BF137" s="10">
        <v>3</v>
      </c>
      <c r="BG137" s="10">
        <v>4</v>
      </c>
      <c r="BH137" s="10">
        <v>6</v>
      </c>
    </row>
    <row r="138" spans="47:60" ht="16" thickBot="1" x14ac:dyDescent="0.4">
      <c r="AU138" s="11">
        <v>135</v>
      </c>
      <c r="AV138" s="55" t="s">
        <v>182</v>
      </c>
      <c r="AW138" s="54">
        <v>41</v>
      </c>
      <c r="AX138" s="92">
        <v>1</v>
      </c>
      <c r="AZ138" s="112">
        <v>135</v>
      </c>
      <c r="BA138" s="5">
        <v>2</v>
      </c>
      <c r="BB138" s="5">
        <v>3</v>
      </c>
      <c r="BD138" s="10">
        <v>135</v>
      </c>
      <c r="BE138" s="10">
        <v>89</v>
      </c>
      <c r="BF138" s="10">
        <v>9</v>
      </c>
      <c r="BG138" s="10">
        <v>4</v>
      </c>
      <c r="BH138" s="10">
        <v>6</v>
      </c>
    </row>
    <row r="139" spans="47:60" ht="15.5" x14ac:dyDescent="0.35">
      <c r="AU139" s="11">
        <v>136</v>
      </c>
      <c r="AV139" s="56" t="s">
        <v>183</v>
      </c>
      <c r="AW139" s="54">
        <v>32</v>
      </c>
      <c r="AX139" s="92">
        <v>1</v>
      </c>
      <c r="AZ139" s="112">
        <v>136</v>
      </c>
      <c r="BA139" s="5">
        <v>4</v>
      </c>
      <c r="BB139" s="5">
        <v>4</v>
      </c>
      <c r="BD139" s="10">
        <v>136</v>
      </c>
      <c r="BE139" s="10">
        <v>90</v>
      </c>
      <c r="BF139" s="10">
        <v>4</v>
      </c>
      <c r="BG139" s="10">
        <v>8</v>
      </c>
      <c r="BH139" s="10">
        <v>2</v>
      </c>
    </row>
    <row r="140" spans="47:60" ht="16" thickBot="1" x14ac:dyDescent="0.4">
      <c r="AU140" s="11">
        <v>137</v>
      </c>
      <c r="AV140" s="55" t="s">
        <v>184</v>
      </c>
      <c r="AW140" s="54">
        <v>39</v>
      </c>
      <c r="AX140" s="92">
        <v>2</v>
      </c>
      <c r="AZ140" s="112">
        <v>137</v>
      </c>
      <c r="BA140" s="5">
        <v>2</v>
      </c>
      <c r="BB140" s="5">
        <v>6</v>
      </c>
      <c r="BD140" s="10">
        <v>137</v>
      </c>
      <c r="BE140" s="10">
        <v>90</v>
      </c>
      <c r="BF140" s="10">
        <v>5</v>
      </c>
      <c r="BG140" s="10">
        <v>8</v>
      </c>
      <c r="BH140" s="10">
        <v>2</v>
      </c>
    </row>
    <row r="141" spans="47:60" ht="15.5" x14ac:dyDescent="0.35">
      <c r="AU141" s="11">
        <v>138</v>
      </c>
      <c r="AV141" s="51" t="s">
        <v>185</v>
      </c>
      <c r="AW141" s="54">
        <v>67</v>
      </c>
      <c r="AX141" s="92">
        <v>2</v>
      </c>
      <c r="AZ141" s="112">
        <v>138</v>
      </c>
      <c r="BA141" s="5">
        <v>2</v>
      </c>
      <c r="BB141" s="5">
        <v>7</v>
      </c>
      <c r="BD141" s="10">
        <v>138</v>
      </c>
      <c r="BE141" s="10">
        <v>91</v>
      </c>
      <c r="BF141" s="10">
        <v>1</v>
      </c>
      <c r="BG141" s="10">
        <v>4</v>
      </c>
      <c r="BH141" s="10">
        <v>2</v>
      </c>
    </row>
    <row r="142" spans="47:60" ht="15.5" x14ac:dyDescent="0.35">
      <c r="AU142" s="11">
        <v>139</v>
      </c>
      <c r="AV142" s="51" t="s">
        <v>186</v>
      </c>
      <c r="AW142" s="54">
        <v>73</v>
      </c>
      <c r="AX142" s="92">
        <v>2</v>
      </c>
      <c r="AZ142" s="112">
        <v>139</v>
      </c>
      <c r="BA142" s="5">
        <v>3</v>
      </c>
      <c r="BB142" s="5">
        <v>1</v>
      </c>
      <c r="BD142" s="10">
        <v>139</v>
      </c>
      <c r="BE142" s="10">
        <v>91</v>
      </c>
      <c r="BF142" s="10">
        <v>4</v>
      </c>
      <c r="BG142" s="10">
        <v>4</v>
      </c>
      <c r="BH142" s="10">
        <v>2</v>
      </c>
    </row>
    <row r="143" spans="47:60" ht="15.5" x14ac:dyDescent="0.35">
      <c r="AU143" s="11">
        <v>140</v>
      </c>
      <c r="AV143" s="51" t="s">
        <v>187</v>
      </c>
      <c r="AW143" s="54">
        <v>67</v>
      </c>
      <c r="AX143" s="92">
        <v>2</v>
      </c>
      <c r="AZ143" s="112">
        <v>140</v>
      </c>
      <c r="BA143" s="5">
        <v>2</v>
      </c>
      <c r="BB143" s="5">
        <v>4</v>
      </c>
      <c r="BD143" s="10">
        <v>140</v>
      </c>
      <c r="BE143" s="10">
        <v>92</v>
      </c>
      <c r="BF143" s="10">
        <v>6</v>
      </c>
      <c r="BG143" s="10">
        <v>3</v>
      </c>
      <c r="BH143" s="10">
        <v>3</v>
      </c>
    </row>
    <row r="144" spans="47:60" ht="15.5" x14ac:dyDescent="0.35">
      <c r="AU144" s="11">
        <v>141</v>
      </c>
      <c r="AV144" s="51" t="s">
        <v>188</v>
      </c>
      <c r="AW144" s="54">
        <v>31</v>
      </c>
      <c r="AX144" s="92">
        <v>2</v>
      </c>
      <c r="AZ144" s="112">
        <v>141</v>
      </c>
      <c r="BA144" s="5">
        <v>7</v>
      </c>
      <c r="BB144" s="5">
        <v>1</v>
      </c>
      <c r="BD144" s="10">
        <v>141</v>
      </c>
      <c r="BE144" s="10">
        <v>92</v>
      </c>
      <c r="BF144" s="10">
        <v>11</v>
      </c>
      <c r="BG144" s="10">
        <v>3</v>
      </c>
      <c r="BH144" s="10">
        <v>3</v>
      </c>
    </row>
    <row r="145" spans="47:60" ht="15.5" x14ac:dyDescent="0.35">
      <c r="AU145" s="11">
        <v>142</v>
      </c>
      <c r="AV145" s="51" t="s">
        <v>189</v>
      </c>
      <c r="AW145" s="54">
        <v>36</v>
      </c>
      <c r="AX145" s="92">
        <v>2</v>
      </c>
      <c r="AZ145" s="112">
        <v>142</v>
      </c>
      <c r="BA145" s="5">
        <v>5</v>
      </c>
      <c r="BB145" s="5">
        <v>2</v>
      </c>
      <c r="BD145" s="10">
        <v>142</v>
      </c>
      <c r="BE145" s="10">
        <v>93</v>
      </c>
      <c r="BF145" s="10">
        <v>7</v>
      </c>
      <c r="BG145" s="10">
        <v>5</v>
      </c>
      <c r="BH145" s="10">
        <v>7</v>
      </c>
    </row>
    <row r="146" spans="47:60" ht="15.5" x14ac:dyDescent="0.35">
      <c r="AU146" s="11">
        <v>143</v>
      </c>
      <c r="AV146" s="51" t="s">
        <v>190</v>
      </c>
      <c r="AW146" s="54">
        <v>3</v>
      </c>
      <c r="AX146" s="92">
        <v>1</v>
      </c>
      <c r="AZ146" s="112">
        <v>143</v>
      </c>
      <c r="BA146" s="5">
        <v>6</v>
      </c>
      <c r="BB146" s="5">
        <v>3</v>
      </c>
      <c r="BD146" s="10">
        <v>143</v>
      </c>
      <c r="BE146" s="10">
        <v>94</v>
      </c>
      <c r="BF146" s="10">
        <v>5</v>
      </c>
      <c r="BG146" s="10">
        <v>2</v>
      </c>
      <c r="BH146" s="10">
        <v>1</v>
      </c>
    </row>
    <row r="147" spans="47:60" ht="15.5" x14ac:dyDescent="0.35">
      <c r="AU147" s="11">
        <v>144</v>
      </c>
      <c r="AV147" s="52" t="s">
        <v>191</v>
      </c>
      <c r="AW147" s="54">
        <v>63</v>
      </c>
      <c r="AX147" s="92">
        <v>2</v>
      </c>
      <c r="AZ147" s="112">
        <v>144</v>
      </c>
      <c r="BA147" s="5">
        <v>3</v>
      </c>
      <c r="BB147" s="5">
        <v>4</v>
      </c>
      <c r="BD147" s="10">
        <v>144</v>
      </c>
      <c r="BE147" s="10">
        <v>95</v>
      </c>
      <c r="BF147" s="10">
        <v>13</v>
      </c>
      <c r="BG147" s="10">
        <v>3</v>
      </c>
      <c r="BH147" s="10">
        <v>2</v>
      </c>
    </row>
    <row r="148" spans="47:60" ht="15.5" x14ac:dyDescent="0.35">
      <c r="AU148" s="11">
        <v>145</v>
      </c>
      <c r="AV148" s="51" t="s">
        <v>192</v>
      </c>
      <c r="AW148" s="54">
        <v>70</v>
      </c>
      <c r="AX148" s="92">
        <v>2</v>
      </c>
      <c r="AZ148" s="112">
        <v>145</v>
      </c>
      <c r="BA148" s="5">
        <v>8</v>
      </c>
      <c r="BB148" s="5">
        <v>1</v>
      </c>
      <c r="BD148" s="10">
        <v>145</v>
      </c>
      <c r="BE148" s="10">
        <v>95</v>
      </c>
      <c r="BF148" s="10">
        <v>14</v>
      </c>
      <c r="BG148" s="10">
        <v>3</v>
      </c>
      <c r="BH148" s="10">
        <v>2</v>
      </c>
    </row>
    <row r="149" spans="47:60" ht="15.5" x14ac:dyDescent="0.35">
      <c r="AU149" s="11">
        <v>146</v>
      </c>
      <c r="AV149" s="57" t="s">
        <v>193</v>
      </c>
      <c r="AW149" s="54">
        <v>36</v>
      </c>
      <c r="AX149" s="92">
        <v>2</v>
      </c>
      <c r="AZ149" s="112">
        <v>146</v>
      </c>
      <c r="BA149" s="5">
        <v>8</v>
      </c>
      <c r="BB149" s="5">
        <v>3</v>
      </c>
      <c r="BD149" s="10">
        <v>146</v>
      </c>
      <c r="BE149" s="10">
        <v>96</v>
      </c>
      <c r="BF149" s="10">
        <v>3</v>
      </c>
      <c r="BG149" s="10">
        <v>7</v>
      </c>
      <c r="BH149" s="10">
        <v>5</v>
      </c>
    </row>
    <row r="150" spans="47:60" ht="15.5" x14ac:dyDescent="0.35">
      <c r="AU150" s="11">
        <v>147</v>
      </c>
      <c r="AV150" s="58" t="s">
        <v>194</v>
      </c>
      <c r="AW150" s="54">
        <v>27</v>
      </c>
      <c r="AX150" s="92">
        <v>2</v>
      </c>
      <c r="AZ150" s="112">
        <v>147</v>
      </c>
      <c r="BA150" s="5">
        <v>3</v>
      </c>
      <c r="BB150" s="5">
        <v>7</v>
      </c>
      <c r="BD150" s="10">
        <v>147</v>
      </c>
      <c r="BE150" s="10">
        <v>97</v>
      </c>
      <c r="BF150" s="10">
        <v>9</v>
      </c>
      <c r="BG150" s="10">
        <v>6</v>
      </c>
      <c r="BH150" s="10">
        <v>7</v>
      </c>
    </row>
    <row r="151" spans="47:60" ht="15.5" x14ac:dyDescent="0.35">
      <c r="AU151" s="11">
        <v>148</v>
      </c>
      <c r="AV151" s="58" t="s">
        <v>195</v>
      </c>
      <c r="AW151" s="54">
        <v>62</v>
      </c>
      <c r="AX151" s="92">
        <v>2</v>
      </c>
      <c r="AZ151" s="112">
        <v>148</v>
      </c>
      <c r="BA151" s="5">
        <v>2</v>
      </c>
      <c r="BB151" s="5">
        <v>5</v>
      </c>
      <c r="BD151" s="10">
        <v>148</v>
      </c>
      <c r="BE151" s="10">
        <v>98</v>
      </c>
      <c r="BF151" s="10">
        <v>2</v>
      </c>
      <c r="BG151" s="10">
        <v>3</v>
      </c>
      <c r="BH151" s="10">
        <v>4</v>
      </c>
    </row>
    <row r="152" spans="47:60" ht="15.5" x14ac:dyDescent="0.35">
      <c r="AU152" s="11">
        <v>149</v>
      </c>
      <c r="AV152" s="58" t="s">
        <v>196</v>
      </c>
      <c r="AW152" s="54">
        <v>62</v>
      </c>
      <c r="AX152" s="92">
        <v>2</v>
      </c>
      <c r="AZ152" s="112">
        <v>149</v>
      </c>
      <c r="BA152" s="5">
        <v>5</v>
      </c>
      <c r="BB152" s="5">
        <v>4</v>
      </c>
      <c r="BD152" s="10">
        <v>149</v>
      </c>
      <c r="BE152" s="10">
        <v>99</v>
      </c>
      <c r="BF152" s="10">
        <v>13</v>
      </c>
      <c r="BG152" s="10">
        <v>5</v>
      </c>
      <c r="BH152" s="10">
        <v>2</v>
      </c>
    </row>
    <row r="153" spans="47:60" x14ac:dyDescent="0.35">
      <c r="AU153" s="11">
        <v>150</v>
      </c>
      <c r="AV153" s="59" t="s">
        <v>197</v>
      </c>
      <c r="AW153" s="60">
        <v>75</v>
      </c>
      <c r="AX153" s="92">
        <v>2</v>
      </c>
      <c r="AZ153" s="112">
        <v>150</v>
      </c>
      <c r="BA153" s="5">
        <v>8</v>
      </c>
      <c r="BB153" s="5">
        <v>6</v>
      </c>
      <c r="BD153" s="10">
        <v>150</v>
      </c>
      <c r="BE153" s="10">
        <v>99</v>
      </c>
      <c r="BF153" s="10">
        <v>14</v>
      </c>
      <c r="BG153" s="10">
        <v>5</v>
      </c>
      <c r="BH153" s="10">
        <v>2</v>
      </c>
    </row>
    <row r="154" spans="47:60" x14ac:dyDescent="0.35">
      <c r="AU154" s="11">
        <v>151</v>
      </c>
      <c r="AV154" s="61" t="s">
        <v>198</v>
      </c>
      <c r="AW154" s="60">
        <v>77</v>
      </c>
      <c r="AX154" s="92">
        <v>2</v>
      </c>
      <c r="AZ154" s="112">
        <v>151</v>
      </c>
      <c r="BA154" s="5">
        <v>3</v>
      </c>
      <c r="BB154" s="5">
        <v>7</v>
      </c>
      <c r="BD154" s="10">
        <v>151</v>
      </c>
      <c r="BE154" s="10">
        <v>100</v>
      </c>
      <c r="BF154" s="10">
        <v>3</v>
      </c>
      <c r="BG154" s="10">
        <v>8</v>
      </c>
      <c r="BH154" s="10">
        <v>6</v>
      </c>
    </row>
    <row r="155" spans="47:60" x14ac:dyDescent="0.35">
      <c r="AU155" s="11">
        <v>152</v>
      </c>
      <c r="AV155" s="59" t="s">
        <v>199</v>
      </c>
      <c r="AW155" s="60">
        <v>74</v>
      </c>
      <c r="AX155" s="92">
        <v>2</v>
      </c>
      <c r="AZ155" s="112">
        <v>152</v>
      </c>
      <c r="BA155" s="5">
        <v>2</v>
      </c>
      <c r="BB155" s="5">
        <v>1</v>
      </c>
      <c r="BD155" s="10">
        <v>152</v>
      </c>
      <c r="BE155" s="10">
        <v>101</v>
      </c>
      <c r="BF155" s="10">
        <v>9</v>
      </c>
      <c r="BG155" s="10">
        <v>1</v>
      </c>
      <c r="BH155" s="10">
        <v>2</v>
      </c>
    </row>
    <row r="156" spans="47:60" x14ac:dyDescent="0.35">
      <c r="AU156" s="11">
        <v>153</v>
      </c>
      <c r="AV156" s="61" t="s">
        <v>200</v>
      </c>
      <c r="AW156" s="60">
        <v>75</v>
      </c>
      <c r="AX156" s="92">
        <v>1</v>
      </c>
      <c r="AZ156" s="112">
        <v>153</v>
      </c>
      <c r="BA156" s="5">
        <v>1</v>
      </c>
      <c r="BB156" s="5">
        <v>2</v>
      </c>
      <c r="BD156" s="10">
        <v>153</v>
      </c>
      <c r="BE156" s="10">
        <v>102</v>
      </c>
      <c r="BF156" s="10">
        <v>3</v>
      </c>
      <c r="BG156" s="10">
        <v>7</v>
      </c>
      <c r="BH156" s="10">
        <v>3</v>
      </c>
    </row>
    <row r="157" spans="47:60" x14ac:dyDescent="0.35">
      <c r="AU157" s="11">
        <v>154</v>
      </c>
      <c r="AV157" s="62" t="s">
        <v>201</v>
      </c>
      <c r="AW157" s="63">
        <v>66</v>
      </c>
      <c r="AX157" s="92">
        <v>1</v>
      </c>
      <c r="AZ157" s="112">
        <v>154</v>
      </c>
      <c r="BA157" s="5">
        <v>1</v>
      </c>
      <c r="BB157" s="5">
        <v>6</v>
      </c>
      <c r="BD157" s="10">
        <v>154</v>
      </c>
      <c r="BE157" s="10">
        <v>103</v>
      </c>
      <c r="BF157" s="10">
        <v>1</v>
      </c>
      <c r="BG157" s="10">
        <v>6</v>
      </c>
      <c r="BH157" s="10">
        <v>7</v>
      </c>
    </row>
    <row r="158" spans="47:60" x14ac:dyDescent="0.35">
      <c r="AU158" s="11">
        <v>155</v>
      </c>
      <c r="AV158" s="62" t="s">
        <v>202</v>
      </c>
      <c r="AW158" s="63">
        <v>66</v>
      </c>
      <c r="AX158" s="92">
        <v>1</v>
      </c>
      <c r="AZ158" s="112">
        <v>155</v>
      </c>
      <c r="BA158" s="5">
        <v>6</v>
      </c>
      <c r="BB158" s="5">
        <v>7</v>
      </c>
      <c r="BD158" s="10">
        <v>155</v>
      </c>
      <c r="BE158" s="10">
        <v>103</v>
      </c>
      <c r="BF158" s="10">
        <v>2</v>
      </c>
      <c r="BG158" s="10">
        <v>6</v>
      </c>
      <c r="BH158" s="10">
        <v>7</v>
      </c>
    </row>
    <row r="159" spans="47:60" x14ac:dyDescent="0.35">
      <c r="AU159" s="11">
        <v>156</v>
      </c>
      <c r="AV159" s="62" t="s">
        <v>203</v>
      </c>
      <c r="AW159" s="63">
        <v>70</v>
      </c>
      <c r="AX159" s="92">
        <v>1</v>
      </c>
      <c r="AZ159" s="112">
        <v>156</v>
      </c>
      <c r="BA159" s="5">
        <v>5</v>
      </c>
      <c r="BB159" s="5">
        <v>7</v>
      </c>
      <c r="BD159" s="10">
        <v>156</v>
      </c>
      <c r="BE159" s="10">
        <v>103</v>
      </c>
      <c r="BF159" s="10">
        <v>4</v>
      </c>
      <c r="BG159" s="10">
        <v>6</v>
      </c>
      <c r="BH159" s="10">
        <v>7</v>
      </c>
    </row>
    <row r="160" spans="47:60" x14ac:dyDescent="0.35">
      <c r="AU160" s="11">
        <v>157</v>
      </c>
      <c r="AV160" s="64" t="s">
        <v>204</v>
      </c>
      <c r="AW160" s="63">
        <v>38</v>
      </c>
      <c r="AX160" s="92">
        <v>1</v>
      </c>
      <c r="AZ160" s="112">
        <v>157</v>
      </c>
      <c r="BA160" s="5">
        <v>4</v>
      </c>
      <c r="BB160" s="5">
        <v>7</v>
      </c>
      <c r="BD160" s="10">
        <v>157</v>
      </c>
      <c r="BE160" s="10">
        <v>103</v>
      </c>
      <c r="BF160" s="10">
        <v>8</v>
      </c>
      <c r="BG160" s="10">
        <v>6</v>
      </c>
      <c r="BH160" s="10">
        <v>7</v>
      </c>
    </row>
    <row r="161" spans="47:60" x14ac:dyDescent="0.35">
      <c r="AU161" s="11">
        <v>158</v>
      </c>
      <c r="AV161" s="65" t="s">
        <v>205</v>
      </c>
      <c r="AW161" s="63">
        <v>37</v>
      </c>
      <c r="AX161" s="92">
        <v>1</v>
      </c>
      <c r="AZ161" s="112">
        <v>158</v>
      </c>
      <c r="BA161" s="5">
        <v>7</v>
      </c>
      <c r="BB161" s="5">
        <v>5</v>
      </c>
      <c r="BD161" s="10">
        <v>158</v>
      </c>
      <c r="BE161" s="10">
        <v>104</v>
      </c>
      <c r="BF161" s="10">
        <v>1</v>
      </c>
      <c r="BG161" s="10">
        <v>5</v>
      </c>
      <c r="BH161" s="10">
        <v>7</v>
      </c>
    </row>
    <row r="162" spans="47:60" x14ac:dyDescent="0.35">
      <c r="AU162" s="11">
        <v>159</v>
      </c>
      <c r="AV162" s="64" t="s">
        <v>206</v>
      </c>
      <c r="AW162" s="63">
        <v>22</v>
      </c>
      <c r="AX162" s="92">
        <v>1</v>
      </c>
      <c r="AZ162" s="112">
        <v>159</v>
      </c>
      <c r="BA162" s="5">
        <v>4</v>
      </c>
      <c r="BB162" s="5">
        <v>4</v>
      </c>
      <c r="BD162" s="10">
        <v>159</v>
      </c>
      <c r="BE162" s="10">
        <v>104</v>
      </c>
      <c r="BF162" s="10">
        <v>3</v>
      </c>
      <c r="BG162" s="10">
        <v>5</v>
      </c>
      <c r="BH162" s="10">
        <v>7</v>
      </c>
    </row>
    <row r="163" spans="47:60" x14ac:dyDescent="0.35">
      <c r="AU163" s="11">
        <v>160</v>
      </c>
      <c r="AV163" s="65" t="s">
        <v>207</v>
      </c>
      <c r="AW163" s="63">
        <v>57</v>
      </c>
      <c r="AX163" s="92">
        <v>1</v>
      </c>
      <c r="AZ163" s="112">
        <v>160</v>
      </c>
      <c r="BA163" s="5">
        <v>7</v>
      </c>
      <c r="BB163" s="5">
        <v>1</v>
      </c>
      <c r="BD163" s="10">
        <v>160</v>
      </c>
      <c r="BE163" s="10">
        <v>105</v>
      </c>
      <c r="BF163" s="10">
        <v>6</v>
      </c>
      <c r="BG163" s="10">
        <v>4</v>
      </c>
      <c r="BH163" s="10">
        <v>7</v>
      </c>
    </row>
    <row r="164" spans="47:60" x14ac:dyDescent="0.35">
      <c r="AU164" s="11">
        <v>161</v>
      </c>
      <c r="AV164" s="62" t="s">
        <v>208</v>
      </c>
      <c r="AW164" s="63">
        <v>54</v>
      </c>
      <c r="AX164" s="92">
        <v>2</v>
      </c>
      <c r="AZ164" s="112">
        <v>161</v>
      </c>
      <c r="BA164" s="5">
        <v>5</v>
      </c>
      <c r="BB164" s="5">
        <v>3</v>
      </c>
      <c r="BD164" s="10">
        <v>161</v>
      </c>
      <c r="BE164" s="10">
        <v>105</v>
      </c>
      <c r="BF164" s="10">
        <v>7</v>
      </c>
      <c r="BG164" s="10">
        <v>4</v>
      </c>
      <c r="BH164" s="10">
        <v>7</v>
      </c>
    </row>
    <row r="165" spans="47:60" x14ac:dyDescent="0.35">
      <c r="AU165" s="11">
        <v>162</v>
      </c>
      <c r="AV165" s="64" t="s">
        <v>209</v>
      </c>
      <c r="AW165" s="63">
        <v>54</v>
      </c>
      <c r="AX165" s="92">
        <v>2</v>
      </c>
      <c r="AZ165" s="112">
        <v>162</v>
      </c>
      <c r="BA165" s="5">
        <v>6</v>
      </c>
      <c r="BB165" s="5">
        <v>3</v>
      </c>
      <c r="BD165" s="10">
        <v>162</v>
      </c>
      <c r="BE165" s="10">
        <v>106</v>
      </c>
      <c r="BF165" s="10">
        <v>4</v>
      </c>
      <c r="BG165" s="10">
        <v>8</v>
      </c>
      <c r="BH165" s="10">
        <v>6</v>
      </c>
    </row>
    <row r="166" spans="47:60" x14ac:dyDescent="0.35">
      <c r="AU166" s="11">
        <v>163</v>
      </c>
      <c r="AV166" s="66" t="s">
        <v>210</v>
      </c>
      <c r="AW166" s="63">
        <v>53</v>
      </c>
      <c r="AX166" s="92">
        <v>2</v>
      </c>
      <c r="AZ166" s="112">
        <v>163</v>
      </c>
      <c r="BA166" s="5">
        <v>6</v>
      </c>
      <c r="BB166" s="5">
        <v>4</v>
      </c>
      <c r="BD166" s="10">
        <v>163</v>
      </c>
      <c r="BE166" s="10">
        <v>106</v>
      </c>
      <c r="BF166" s="10">
        <v>5</v>
      </c>
      <c r="BG166" s="10">
        <v>8</v>
      </c>
      <c r="BH166" s="10">
        <v>6</v>
      </c>
    </row>
    <row r="167" spans="47:60" x14ac:dyDescent="0.35">
      <c r="AU167" s="11">
        <v>164</v>
      </c>
      <c r="AV167" s="64" t="s">
        <v>211</v>
      </c>
      <c r="AW167" s="63">
        <v>53</v>
      </c>
      <c r="AX167" s="92">
        <v>2</v>
      </c>
      <c r="AZ167" s="112">
        <v>164</v>
      </c>
      <c r="BA167" s="5">
        <v>4</v>
      </c>
      <c r="BB167" s="5">
        <v>6</v>
      </c>
      <c r="BD167" s="10">
        <v>164</v>
      </c>
      <c r="BE167" s="10">
        <v>107</v>
      </c>
      <c r="BF167" s="10">
        <v>1</v>
      </c>
      <c r="BG167" s="10">
        <v>8</v>
      </c>
      <c r="BH167" s="10">
        <v>7</v>
      </c>
    </row>
    <row r="168" spans="47:60" x14ac:dyDescent="0.35">
      <c r="AU168" s="11">
        <v>165</v>
      </c>
      <c r="AV168" s="67" t="s">
        <v>212</v>
      </c>
      <c r="AW168" s="63">
        <v>54</v>
      </c>
      <c r="AX168" s="92">
        <v>2</v>
      </c>
      <c r="AZ168" s="112">
        <v>165</v>
      </c>
      <c r="BA168" s="5">
        <v>5</v>
      </c>
      <c r="BB168" s="5">
        <v>2</v>
      </c>
      <c r="BD168" s="10">
        <v>165</v>
      </c>
      <c r="BE168" s="10">
        <v>107</v>
      </c>
      <c r="BF168" s="10">
        <v>3</v>
      </c>
      <c r="BG168" s="10">
        <v>8</v>
      </c>
      <c r="BH168" s="10">
        <v>7</v>
      </c>
    </row>
    <row r="169" spans="47:60" x14ac:dyDescent="0.35">
      <c r="AU169" s="11">
        <v>166</v>
      </c>
      <c r="AV169" s="68" t="s">
        <v>213</v>
      </c>
      <c r="AW169" s="63">
        <v>54</v>
      </c>
      <c r="AX169" s="92">
        <v>2</v>
      </c>
      <c r="AZ169" s="112">
        <v>166</v>
      </c>
      <c r="BA169" s="5">
        <v>5</v>
      </c>
      <c r="BB169" s="5">
        <v>5</v>
      </c>
      <c r="BD169" s="10">
        <v>166</v>
      </c>
      <c r="BE169" s="10">
        <v>108</v>
      </c>
      <c r="BF169" s="10">
        <v>1</v>
      </c>
      <c r="BG169" s="10">
        <v>1</v>
      </c>
      <c r="BH169" s="10">
        <v>5</v>
      </c>
    </row>
    <row r="170" spans="47:60" x14ac:dyDescent="0.35">
      <c r="AU170" s="11">
        <v>167</v>
      </c>
      <c r="AV170" s="69" t="s">
        <v>214</v>
      </c>
      <c r="AW170" s="63">
        <v>30</v>
      </c>
      <c r="AX170" s="92">
        <v>1</v>
      </c>
      <c r="AZ170" s="112">
        <v>167</v>
      </c>
      <c r="BA170" s="5">
        <v>6</v>
      </c>
      <c r="BB170" s="5">
        <v>5</v>
      </c>
      <c r="BD170" s="10">
        <v>167</v>
      </c>
      <c r="BE170" s="10">
        <v>108</v>
      </c>
      <c r="BF170" s="10">
        <v>4</v>
      </c>
      <c r="BG170" s="10">
        <v>1</v>
      </c>
      <c r="BH170" s="10">
        <v>5</v>
      </c>
    </row>
    <row r="171" spans="47:60" x14ac:dyDescent="0.35">
      <c r="AU171" s="11">
        <v>168</v>
      </c>
      <c r="AV171" s="70" t="s">
        <v>215</v>
      </c>
      <c r="AW171" s="63">
        <v>18</v>
      </c>
      <c r="AX171" s="92">
        <v>1</v>
      </c>
      <c r="AZ171" s="112">
        <v>168</v>
      </c>
      <c r="BA171" s="5">
        <v>2</v>
      </c>
      <c r="BB171" s="5">
        <v>5</v>
      </c>
      <c r="BD171" s="10">
        <v>168</v>
      </c>
      <c r="BE171" s="10">
        <v>109</v>
      </c>
      <c r="BF171" s="10">
        <v>3</v>
      </c>
      <c r="BG171" s="10">
        <v>2</v>
      </c>
      <c r="BH171" s="10">
        <v>6</v>
      </c>
    </row>
    <row r="172" spans="47:60" x14ac:dyDescent="0.35">
      <c r="AU172" s="11">
        <v>169</v>
      </c>
      <c r="AV172" s="67" t="s">
        <v>216</v>
      </c>
      <c r="AW172" s="63">
        <v>32</v>
      </c>
      <c r="AX172" s="92">
        <v>1</v>
      </c>
      <c r="AZ172" s="112">
        <v>169</v>
      </c>
      <c r="BA172" s="5">
        <v>5</v>
      </c>
      <c r="BB172" s="5">
        <v>1</v>
      </c>
      <c r="BD172" s="10">
        <v>169</v>
      </c>
      <c r="BE172" s="10">
        <v>109</v>
      </c>
      <c r="BF172" s="10">
        <v>5</v>
      </c>
      <c r="BG172" s="10">
        <v>2</v>
      </c>
      <c r="BH172" s="10">
        <v>6</v>
      </c>
    </row>
    <row r="173" spans="47:60" x14ac:dyDescent="0.35">
      <c r="AU173" s="11">
        <v>170</v>
      </c>
      <c r="AV173" s="68" t="s">
        <v>217</v>
      </c>
      <c r="AW173" s="63">
        <v>19</v>
      </c>
      <c r="AX173" s="92">
        <v>1</v>
      </c>
      <c r="AZ173" s="112">
        <v>170</v>
      </c>
      <c r="BA173" s="5">
        <v>2</v>
      </c>
      <c r="BB173" s="5">
        <v>7</v>
      </c>
      <c r="BD173" s="10">
        <v>170</v>
      </c>
      <c r="BE173" s="10">
        <v>110</v>
      </c>
      <c r="BF173" s="10">
        <v>1</v>
      </c>
      <c r="BG173" s="10">
        <v>5</v>
      </c>
      <c r="BH173" s="10">
        <v>3</v>
      </c>
    </row>
    <row r="174" spans="47:60" x14ac:dyDescent="0.35">
      <c r="AU174" s="11">
        <v>171</v>
      </c>
      <c r="AV174" s="62" t="s">
        <v>218</v>
      </c>
      <c r="AW174" s="63">
        <v>55</v>
      </c>
      <c r="AX174" s="92">
        <v>2</v>
      </c>
      <c r="AZ174" s="112">
        <v>171</v>
      </c>
      <c r="BA174" s="5">
        <v>6</v>
      </c>
      <c r="BB174" s="5">
        <v>7</v>
      </c>
      <c r="BD174" s="10">
        <v>171</v>
      </c>
      <c r="BE174" s="10">
        <v>111</v>
      </c>
      <c r="BF174" s="10">
        <v>1</v>
      </c>
      <c r="BG174" s="10">
        <v>2</v>
      </c>
      <c r="BH174" s="10">
        <v>5</v>
      </c>
    </row>
    <row r="175" spans="47:60" x14ac:dyDescent="0.35">
      <c r="AU175" s="11"/>
      <c r="AV175" s="15"/>
      <c r="AW175" s="15"/>
      <c r="AX175" s="92"/>
      <c r="AZ175" s="112"/>
      <c r="BA175" s="5"/>
      <c r="BB175" s="5"/>
      <c r="BD175" s="10">
        <v>172</v>
      </c>
      <c r="BE175" s="10">
        <v>112</v>
      </c>
      <c r="BF175" s="10">
        <v>3</v>
      </c>
      <c r="BG175" s="10">
        <v>2</v>
      </c>
      <c r="BH175" s="10">
        <v>3</v>
      </c>
    </row>
    <row r="176" spans="47:60" x14ac:dyDescent="0.35">
      <c r="AU176" s="11"/>
      <c r="AV176" s="15"/>
      <c r="AW176" s="15"/>
      <c r="AX176" s="92"/>
      <c r="AZ176" s="112"/>
      <c r="BA176" s="5"/>
      <c r="BB176" s="5"/>
      <c r="BD176" s="10">
        <v>173</v>
      </c>
      <c r="BE176" s="10">
        <v>113</v>
      </c>
      <c r="BF176" s="10">
        <v>5</v>
      </c>
      <c r="BG176" s="10">
        <v>1</v>
      </c>
      <c r="BH176" s="10">
        <v>1</v>
      </c>
    </row>
    <row r="177" spans="47:60" x14ac:dyDescent="0.35">
      <c r="AU177" s="14"/>
      <c r="AV177" s="15"/>
      <c r="AW177" s="92"/>
      <c r="AX177" s="92"/>
      <c r="AZ177" s="112"/>
      <c r="BA177" s="112"/>
      <c r="BB177" s="10"/>
      <c r="BD177" s="10">
        <v>174</v>
      </c>
      <c r="BE177" s="10">
        <v>114</v>
      </c>
      <c r="BF177" s="10">
        <v>10</v>
      </c>
      <c r="BG177" s="10">
        <v>6</v>
      </c>
      <c r="BH177" s="10">
        <v>6</v>
      </c>
    </row>
    <row r="178" spans="47:60" x14ac:dyDescent="0.35">
      <c r="AU178" s="14"/>
      <c r="AV178" s="15"/>
      <c r="AW178" s="92"/>
      <c r="AX178" s="92"/>
      <c r="AZ178" s="112"/>
      <c r="BA178" s="112"/>
      <c r="BB178" s="10"/>
      <c r="BD178" s="10">
        <v>175</v>
      </c>
      <c r="BE178" s="10">
        <v>115</v>
      </c>
      <c r="BF178" s="10">
        <v>4</v>
      </c>
      <c r="BG178" s="10">
        <v>6</v>
      </c>
      <c r="BH178" s="10">
        <v>3</v>
      </c>
    </row>
    <row r="179" spans="47:60" x14ac:dyDescent="0.35">
      <c r="AU179" s="14"/>
      <c r="AV179" s="16"/>
      <c r="AW179" s="92"/>
      <c r="AX179" s="92"/>
      <c r="AZ179" s="112"/>
      <c r="BA179" s="112"/>
      <c r="BB179" s="10"/>
      <c r="BD179" s="10">
        <v>176</v>
      </c>
      <c r="BE179" s="10">
        <v>116</v>
      </c>
      <c r="BF179" s="10">
        <v>6</v>
      </c>
      <c r="BG179" s="10">
        <v>3</v>
      </c>
      <c r="BH179" s="10">
        <v>7</v>
      </c>
    </row>
    <row r="180" spans="47:60" x14ac:dyDescent="0.35">
      <c r="AU180" s="14"/>
      <c r="AV180" s="16"/>
      <c r="AW180" s="92"/>
      <c r="AX180" s="92"/>
      <c r="AZ180" s="112"/>
      <c r="BA180" s="10"/>
      <c r="BB180" s="10"/>
      <c r="BD180" s="10">
        <v>177</v>
      </c>
      <c r="BE180" s="10">
        <v>117</v>
      </c>
      <c r="BF180" s="10">
        <v>1</v>
      </c>
      <c r="BG180" s="10">
        <v>3</v>
      </c>
      <c r="BH180" s="10">
        <v>3</v>
      </c>
    </row>
    <row r="181" spans="47:60" x14ac:dyDescent="0.35">
      <c r="AU181" s="14"/>
      <c r="AV181" s="16"/>
      <c r="AW181" s="92"/>
      <c r="AX181" s="92"/>
      <c r="AZ181" s="112"/>
      <c r="BA181" s="10"/>
      <c r="BB181" s="10"/>
      <c r="BD181" s="10">
        <v>178</v>
      </c>
      <c r="BE181" s="10">
        <v>118</v>
      </c>
      <c r="BF181" s="10">
        <v>2</v>
      </c>
      <c r="BG181" s="10">
        <v>7</v>
      </c>
      <c r="BH181" s="10">
        <v>1</v>
      </c>
    </row>
    <row r="182" spans="47:60" x14ac:dyDescent="0.35">
      <c r="AU182" s="14"/>
      <c r="AV182" s="15"/>
      <c r="AW182" s="92"/>
      <c r="AX182" s="92"/>
      <c r="AZ182" s="112"/>
      <c r="BA182" s="10"/>
      <c r="BB182" s="10"/>
      <c r="BD182" s="10">
        <v>179</v>
      </c>
      <c r="BE182" s="10">
        <v>119</v>
      </c>
      <c r="BF182" s="10">
        <v>1</v>
      </c>
      <c r="BG182" s="10">
        <v>1</v>
      </c>
      <c r="BH182" s="10">
        <v>2</v>
      </c>
    </row>
    <row r="183" spans="47:60" x14ac:dyDescent="0.35">
      <c r="AU183" s="14"/>
      <c r="AV183" s="15"/>
      <c r="AW183" s="92"/>
      <c r="AX183" s="92"/>
      <c r="AZ183" s="112"/>
      <c r="BA183" s="10"/>
      <c r="BB183" s="10"/>
      <c r="BD183" s="10">
        <v>180</v>
      </c>
      <c r="BE183" s="10">
        <v>120</v>
      </c>
      <c r="BF183" s="10">
        <v>5</v>
      </c>
      <c r="BG183" s="10">
        <v>4</v>
      </c>
      <c r="BH183" s="10">
        <v>2</v>
      </c>
    </row>
    <row r="184" spans="47:60" x14ac:dyDescent="0.35">
      <c r="AU184" s="14"/>
      <c r="AV184" s="16"/>
      <c r="AW184" s="92"/>
      <c r="AX184" s="92"/>
      <c r="AZ184" s="112"/>
      <c r="BA184" s="10"/>
      <c r="BB184" s="10"/>
      <c r="BD184" s="10">
        <v>181</v>
      </c>
      <c r="BE184" s="10">
        <v>121</v>
      </c>
      <c r="BF184" s="10">
        <v>5</v>
      </c>
      <c r="BG184" s="10">
        <v>6</v>
      </c>
      <c r="BH184" s="10">
        <v>2</v>
      </c>
    </row>
    <row r="185" spans="47:60" x14ac:dyDescent="0.35">
      <c r="AU185" s="14"/>
      <c r="AV185" s="16"/>
      <c r="AW185" s="92"/>
      <c r="AX185" s="92"/>
      <c r="AZ185" s="112"/>
      <c r="BA185" s="10"/>
      <c r="BB185" s="10"/>
      <c r="BD185" s="10">
        <v>182</v>
      </c>
      <c r="BE185" s="10">
        <v>122</v>
      </c>
      <c r="BF185" s="10">
        <v>2</v>
      </c>
      <c r="BG185" s="10">
        <v>5</v>
      </c>
      <c r="BH185" s="10">
        <v>2</v>
      </c>
    </row>
    <row r="186" spans="47:60" x14ac:dyDescent="0.35">
      <c r="AU186" s="14"/>
      <c r="AV186" s="16"/>
      <c r="AW186" s="92"/>
      <c r="AX186" s="92"/>
      <c r="AZ186" s="112"/>
      <c r="BA186" s="10"/>
      <c r="BB186" s="10"/>
      <c r="BD186" s="10">
        <v>183</v>
      </c>
      <c r="BE186" s="10">
        <v>123</v>
      </c>
      <c r="BF186" s="10">
        <v>5</v>
      </c>
      <c r="BG186" s="10">
        <v>2</v>
      </c>
      <c r="BH186" s="10">
        <v>2</v>
      </c>
    </row>
    <row r="187" spans="47:60" x14ac:dyDescent="0.35">
      <c r="AU187" s="14"/>
      <c r="AV187" s="15"/>
      <c r="AW187" s="92"/>
      <c r="AX187" s="92"/>
      <c r="AZ187" s="112"/>
      <c r="BA187" s="10"/>
      <c r="BB187" s="10"/>
      <c r="BD187" s="10">
        <v>184</v>
      </c>
      <c r="BE187" s="10">
        <v>124</v>
      </c>
      <c r="BF187" s="10">
        <v>4</v>
      </c>
      <c r="BG187" s="10">
        <v>5</v>
      </c>
      <c r="BH187" s="10">
        <v>5</v>
      </c>
    </row>
    <row r="188" spans="47:60" x14ac:dyDescent="0.35">
      <c r="AU188" s="14"/>
      <c r="AV188" s="15"/>
      <c r="AW188" s="92"/>
      <c r="AX188" s="92"/>
      <c r="AZ188" s="112"/>
      <c r="BA188" s="10"/>
      <c r="BB188" s="10"/>
      <c r="BD188" s="10">
        <v>185</v>
      </c>
      <c r="BE188" s="10">
        <v>125</v>
      </c>
      <c r="BF188" s="10">
        <v>3</v>
      </c>
      <c r="BG188" s="10">
        <v>6</v>
      </c>
      <c r="BH188" s="10">
        <v>7</v>
      </c>
    </row>
    <row r="189" spans="47:60" x14ac:dyDescent="0.35">
      <c r="AU189" s="14"/>
      <c r="AV189" s="16"/>
      <c r="AW189" s="92"/>
      <c r="AX189" s="92"/>
      <c r="AZ189" s="112"/>
      <c r="BA189" s="10"/>
      <c r="BB189" s="10"/>
      <c r="BD189" s="10">
        <v>186</v>
      </c>
      <c r="BE189" s="10">
        <v>125</v>
      </c>
      <c r="BF189" s="10">
        <v>9</v>
      </c>
      <c r="BG189" s="10">
        <v>6</v>
      </c>
      <c r="BH189" s="10">
        <v>7</v>
      </c>
    </row>
    <row r="190" spans="47:60" x14ac:dyDescent="0.35">
      <c r="AU190" s="14"/>
      <c r="AV190" s="16"/>
      <c r="AW190" s="92"/>
      <c r="AX190" s="92"/>
      <c r="AZ190" s="112"/>
      <c r="BA190" s="10"/>
      <c r="BB190" s="10"/>
      <c r="BD190" s="10">
        <v>187</v>
      </c>
      <c r="BE190" s="10">
        <v>126</v>
      </c>
      <c r="BF190" s="10">
        <v>2</v>
      </c>
      <c r="BG190" s="10">
        <v>5</v>
      </c>
      <c r="BH190" s="10">
        <v>7</v>
      </c>
    </row>
    <row r="191" spans="47:60" x14ac:dyDescent="0.35">
      <c r="AU191" s="14"/>
      <c r="AV191" s="16"/>
      <c r="AW191" s="92"/>
      <c r="AX191" s="92"/>
      <c r="AZ191" s="112"/>
      <c r="BA191" s="10"/>
      <c r="BB191" s="10"/>
      <c r="BD191" s="10">
        <v>188</v>
      </c>
      <c r="BE191" s="10">
        <v>126</v>
      </c>
      <c r="BF191" s="10">
        <v>11</v>
      </c>
      <c r="BG191" s="10">
        <v>5</v>
      </c>
      <c r="BH191" s="10">
        <v>7</v>
      </c>
    </row>
    <row r="192" spans="47:60" x14ac:dyDescent="0.35">
      <c r="AU192" s="14"/>
      <c r="AV192" s="15"/>
      <c r="AW192" s="92"/>
      <c r="AX192" s="92"/>
      <c r="AZ192" s="112"/>
      <c r="BA192" s="10"/>
      <c r="BB192" s="10"/>
      <c r="BD192" s="10">
        <v>189</v>
      </c>
      <c r="BE192" s="10">
        <v>127</v>
      </c>
      <c r="BF192" s="10">
        <v>1</v>
      </c>
      <c r="BG192" s="10">
        <v>4</v>
      </c>
      <c r="BH192" s="10">
        <v>7</v>
      </c>
    </row>
    <row r="193" spans="47:60" x14ac:dyDescent="0.35">
      <c r="AU193" s="14"/>
      <c r="AV193" s="15"/>
      <c r="AW193" s="92"/>
      <c r="AX193" s="92"/>
      <c r="AZ193" s="112"/>
      <c r="BA193" s="10"/>
      <c r="BB193" s="10"/>
      <c r="BD193" s="10">
        <v>190</v>
      </c>
      <c r="BE193" s="10">
        <v>127</v>
      </c>
      <c r="BF193" s="10">
        <v>3</v>
      </c>
      <c r="BG193" s="10">
        <v>4</v>
      </c>
      <c r="BH193" s="10">
        <v>7</v>
      </c>
    </row>
    <row r="194" spans="47:60" x14ac:dyDescent="0.35">
      <c r="AU194" s="14"/>
      <c r="AV194" s="16"/>
      <c r="AW194" s="92"/>
      <c r="AX194" s="92"/>
      <c r="AZ194" s="112"/>
      <c r="BA194" s="10"/>
      <c r="BB194" s="10"/>
      <c r="BD194" s="10">
        <v>191</v>
      </c>
      <c r="BE194" s="10">
        <v>128</v>
      </c>
      <c r="BF194" s="10">
        <v>6</v>
      </c>
      <c r="BG194" s="10">
        <v>5</v>
      </c>
      <c r="BH194" s="10">
        <v>5</v>
      </c>
    </row>
    <row r="195" spans="47:60" x14ac:dyDescent="0.35">
      <c r="AU195" s="14"/>
      <c r="AV195" s="16"/>
      <c r="AW195" s="92"/>
      <c r="AX195" s="92"/>
      <c r="AZ195" s="112"/>
      <c r="BA195" s="10"/>
      <c r="BB195" s="10"/>
      <c r="BD195" s="10">
        <v>192</v>
      </c>
      <c r="BE195" s="10">
        <v>128</v>
      </c>
      <c r="BF195" s="10">
        <v>8</v>
      </c>
      <c r="BG195" s="10">
        <v>5</v>
      </c>
      <c r="BH195" s="10">
        <v>5</v>
      </c>
    </row>
    <row r="196" spans="47:60" x14ac:dyDescent="0.35">
      <c r="AU196" s="14"/>
      <c r="AV196" s="16"/>
      <c r="AW196" s="92"/>
      <c r="AX196" s="92"/>
      <c r="AZ196" s="112"/>
      <c r="BA196" s="10"/>
      <c r="BB196" s="10"/>
      <c r="BD196" s="10">
        <v>193</v>
      </c>
      <c r="BE196" s="10">
        <v>129</v>
      </c>
      <c r="BF196" s="10">
        <v>1</v>
      </c>
      <c r="BG196" s="10">
        <v>5</v>
      </c>
      <c r="BH196" s="10">
        <v>1</v>
      </c>
    </row>
    <row r="197" spans="47:60" x14ac:dyDescent="0.35">
      <c r="AU197" s="14"/>
      <c r="AV197" s="15"/>
      <c r="AW197" s="92"/>
      <c r="AX197" s="92"/>
      <c r="AZ197" s="112"/>
      <c r="BA197" s="10"/>
      <c r="BB197" s="10"/>
      <c r="BD197" s="10">
        <v>194</v>
      </c>
      <c r="BE197" s="10">
        <v>129</v>
      </c>
      <c r="BF197" s="10">
        <v>4</v>
      </c>
      <c r="BG197" s="10">
        <v>5</v>
      </c>
      <c r="BH197" s="10">
        <v>1</v>
      </c>
    </row>
    <row r="198" spans="47:60" x14ac:dyDescent="0.35">
      <c r="AU198" s="14"/>
      <c r="AV198" s="15"/>
      <c r="AW198" s="92"/>
      <c r="AX198" s="92"/>
      <c r="AZ198" s="112"/>
      <c r="BA198" s="10"/>
      <c r="BB198" s="10"/>
      <c r="BD198" s="10">
        <v>195</v>
      </c>
      <c r="BE198" s="10">
        <v>130</v>
      </c>
      <c r="BF198" s="10">
        <v>6</v>
      </c>
      <c r="BG198" s="10">
        <v>1</v>
      </c>
      <c r="BH198" s="10">
        <v>7</v>
      </c>
    </row>
    <row r="199" spans="47:60" x14ac:dyDescent="0.35">
      <c r="AU199" s="14"/>
      <c r="AV199" s="16"/>
      <c r="AW199" s="92"/>
      <c r="AX199" s="92"/>
      <c r="AZ199" s="112"/>
      <c r="BA199" s="10"/>
      <c r="BB199" s="10"/>
      <c r="BD199" s="10">
        <v>196</v>
      </c>
      <c r="BE199" s="10">
        <v>130</v>
      </c>
      <c r="BF199" s="10">
        <v>9</v>
      </c>
      <c r="BG199" s="10">
        <v>1</v>
      </c>
      <c r="BH199" s="10">
        <v>7</v>
      </c>
    </row>
    <row r="200" spans="47:60" x14ac:dyDescent="0.35">
      <c r="AU200" s="14"/>
      <c r="AV200" s="16"/>
      <c r="AW200" s="92"/>
      <c r="AX200" s="92"/>
      <c r="AZ200" s="112"/>
      <c r="BA200" s="10"/>
      <c r="BB200" s="10"/>
      <c r="BD200" s="10">
        <v>197</v>
      </c>
      <c r="BE200" s="10">
        <v>131</v>
      </c>
      <c r="BF200" s="10">
        <v>1</v>
      </c>
      <c r="BG200" s="10">
        <v>1</v>
      </c>
      <c r="BH200" s="10">
        <v>2</v>
      </c>
    </row>
    <row r="201" spans="47:60" x14ac:dyDescent="0.35">
      <c r="AU201" s="14"/>
      <c r="AV201" s="16"/>
      <c r="AW201" s="92"/>
      <c r="AX201" s="92"/>
      <c r="AZ201" s="112"/>
      <c r="BA201" s="10"/>
      <c r="BB201" s="10"/>
      <c r="BD201" s="10">
        <v>198</v>
      </c>
      <c r="BE201" s="10">
        <v>131</v>
      </c>
      <c r="BF201" s="10">
        <v>4</v>
      </c>
      <c r="BG201" s="10">
        <v>1</v>
      </c>
      <c r="BH201" s="10">
        <v>2</v>
      </c>
    </row>
    <row r="202" spans="47:60" x14ac:dyDescent="0.35">
      <c r="AU202" s="14"/>
      <c r="AV202" s="15"/>
      <c r="AW202" s="92"/>
      <c r="AX202" s="92"/>
      <c r="AZ202" s="112"/>
      <c r="BA202" s="10"/>
      <c r="BB202" s="10"/>
      <c r="BD202" s="10">
        <v>199</v>
      </c>
      <c r="BE202" s="10">
        <v>132</v>
      </c>
      <c r="BF202" s="10">
        <v>13</v>
      </c>
      <c r="BG202" s="10">
        <v>3</v>
      </c>
      <c r="BH202" s="10">
        <v>5</v>
      </c>
    </row>
    <row r="203" spans="47:60" x14ac:dyDescent="0.35">
      <c r="AU203" s="14"/>
      <c r="AV203" s="15"/>
      <c r="AW203" s="92"/>
      <c r="AX203" s="92"/>
      <c r="AZ203" s="112"/>
      <c r="BA203" s="10"/>
      <c r="BB203" s="10"/>
      <c r="BD203" s="10">
        <v>200</v>
      </c>
      <c r="BE203" s="10">
        <v>132</v>
      </c>
      <c r="BF203" s="10">
        <v>15</v>
      </c>
      <c r="BG203" s="10">
        <v>3</v>
      </c>
      <c r="BH203" s="10">
        <v>5</v>
      </c>
    </row>
    <row r="204" spans="47:60" x14ac:dyDescent="0.35">
      <c r="AU204" s="10"/>
      <c r="AV204" s="10"/>
      <c r="AW204" s="10"/>
      <c r="AX204" s="10"/>
      <c r="AZ204" s="112"/>
      <c r="BA204" s="10"/>
      <c r="BB204" s="10"/>
      <c r="BD204" s="10">
        <v>201</v>
      </c>
      <c r="BE204" s="10">
        <v>133</v>
      </c>
      <c r="BF204" s="10">
        <v>1</v>
      </c>
      <c r="BG204" s="10">
        <v>4</v>
      </c>
      <c r="BH204" s="10">
        <v>6</v>
      </c>
    </row>
    <row r="205" spans="47:60" x14ac:dyDescent="0.35">
      <c r="AU205" s="10"/>
      <c r="AV205" s="10"/>
      <c r="AW205" s="10"/>
      <c r="AX205" s="10"/>
      <c r="AZ205" s="112"/>
      <c r="BA205" s="10"/>
      <c r="BB205" s="10"/>
      <c r="BD205" s="10">
        <v>202</v>
      </c>
      <c r="BE205" s="10">
        <v>134</v>
      </c>
      <c r="BF205" s="10">
        <v>4</v>
      </c>
      <c r="BG205" s="10">
        <v>2</v>
      </c>
      <c r="BH205" s="10">
        <v>3</v>
      </c>
    </row>
    <row r="206" spans="47:60" x14ac:dyDescent="0.35">
      <c r="AU206" s="10"/>
      <c r="AV206" s="10"/>
      <c r="AW206" s="10"/>
      <c r="AX206" s="10"/>
      <c r="AZ206" s="112"/>
      <c r="BA206" s="10"/>
      <c r="BB206" s="10"/>
      <c r="BD206" s="10">
        <v>203</v>
      </c>
      <c r="BE206" s="10">
        <v>135</v>
      </c>
      <c r="BF206" s="10">
        <v>5</v>
      </c>
      <c r="BG206" s="10">
        <v>4</v>
      </c>
      <c r="BH206" s="10">
        <v>4</v>
      </c>
    </row>
    <row r="207" spans="47:60" x14ac:dyDescent="0.35">
      <c r="AU207" s="10"/>
      <c r="AV207" s="10"/>
      <c r="AW207" s="10"/>
      <c r="AX207" s="10"/>
      <c r="AZ207" s="112"/>
      <c r="BA207" s="10"/>
      <c r="BB207" s="10"/>
      <c r="BD207" s="10">
        <v>204</v>
      </c>
      <c r="BE207" s="10">
        <v>136</v>
      </c>
      <c r="BF207" s="10">
        <v>4</v>
      </c>
      <c r="BG207" s="10">
        <v>2</v>
      </c>
      <c r="BH207" s="10">
        <v>6</v>
      </c>
    </row>
    <row r="208" spans="47:60" x14ac:dyDescent="0.35">
      <c r="AU208" s="10"/>
      <c r="AV208" s="10"/>
      <c r="AW208" s="10"/>
      <c r="AX208" s="10"/>
      <c r="AZ208" s="112"/>
      <c r="BA208" s="10"/>
      <c r="BB208" s="10"/>
      <c r="BD208" s="10">
        <v>205</v>
      </c>
      <c r="BE208" s="10">
        <v>137</v>
      </c>
      <c r="BF208" s="10">
        <v>3</v>
      </c>
      <c r="BG208" s="10">
        <v>2</v>
      </c>
      <c r="BH208" s="10">
        <v>7</v>
      </c>
    </row>
    <row r="209" spans="47:60" x14ac:dyDescent="0.35">
      <c r="AU209" s="10"/>
      <c r="AV209" s="10"/>
      <c r="AW209" s="10"/>
      <c r="AX209" s="10"/>
      <c r="AZ209" s="112"/>
      <c r="BA209" s="10"/>
      <c r="BB209" s="10"/>
      <c r="BD209" s="10">
        <v>206</v>
      </c>
      <c r="BE209" s="10">
        <v>138</v>
      </c>
      <c r="BF209" s="10">
        <v>1</v>
      </c>
      <c r="BG209" s="10">
        <v>3</v>
      </c>
      <c r="BH209" s="10">
        <v>1</v>
      </c>
    </row>
    <row r="210" spans="47:60" x14ac:dyDescent="0.35">
      <c r="AU210" s="10"/>
      <c r="AV210" s="10"/>
      <c r="AW210" s="10"/>
      <c r="AX210" s="10"/>
      <c r="AZ210" s="112"/>
      <c r="BA210" s="10"/>
      <c r="BB210" s="10"/>
      <c r="BD210" s="10">
        <v>207</v>
      </c>
      <c r="BE210" s="10">
        <v>138</v>
      </c>
      <c r="BF210" s="10">
        <v>5</v>
      </c>
      <c r="BG210" s="10">
        <v>3</v>
      </c>
      <c r="BH210" s="10">
        <v>1</v>
      </c>
    </row>
    <row r="211" spans="47:60" x14ac:dyDescent="0.35">
      <c r="AU211" s="10"/>
      <c r="AV211" s="10"/>
      <c r="AW211" s="10"/>
      <c r="AX211" s="10"/>
      <c r="AZ211" s="112"/>
      <c r="BA211" s="10"/>
      <c r="BB211" s="10"/>
      <c r="BD211" s="10">
        <v>208</v>
      </c>
      <c r="BE211" s="10">
        <v>139</v>
      </c>
      <c r="BF211" s="10">
        <v>3</v>
      </c>
      <c r="BG211" s="10">
        <v>2</v>
      </c>
      <c r="BH211" s="10">
        <v>4</v>
      </c>
    </row>
    <row r="212" spans="47:60" x14ac:dyDescent="0.35">
      <c r="AU212" s="10"/>
      <c r="AV212" s="10"/>
      <c r="AW212" s="10"/>
      <c r="AX212" s="10"/>
      <c r="AZ212" s="112"/>
      <c r="BA212" s="10"/>
      <c r="BB212" s="10"/>
      <c r="BD212" s="10">
        <v>209</v>
      </c>
      <c r="BE212" s="10">
        <v>139</v>
      </c>
      <c r="BF212" s="10">
        <v>5</v>
      </c>
      <c r="BG212" s="10">
        <v>2</v>
      </c>
      <c r="BH212" s="10">
        <v>4</v>
      </c>
    </row>
    <row r="213" spans="47:60" x14ac:dyDescent="0.35">
      <c r="AU213" s="10"/>
      <c r="AV213" s="10"/>
      <c r="AW213" s="10"/>
      <c r="AX213" s="10"/>
      <c r="AZ213" s="112"/>
      <c r="BA213" s="10"/>
      <c r="BB213" s="10"/>
      <c r="BD213" s="10">
        <v>210</v>
      </c>
      <c r="BE213" s="10">
        <v>140</v>
      </c>
      <c r="BF213" s="10">
        <v>1</v>
      </c>
      <c r="BG213" s="10">
        <v>7</v>
      </c>
      <c r="BH213" s="10">
        <v>1</v>
      </c>
    </row>
    <row r="214" spans="47:60" x14ac:dyDescent="0.35">
      <c r="AU214" s="10"/>
      <c r="AV214" s="10"/>
      <c r="AW214" s="10"/>
      <c r="AX214" s="10"/>
      <c r="AZ214" s="112"/>
      <c r="BA214" s="10"/>
      <c r="BB214" s="10"/>
      <c r="BD214" s="10">
        <v>211</v>
      </c>
      <c r="BE214" s="10">
        <v>140</v>
      </c>
      <c r="BF214" s="10">
        <v>3</v>
      </c>
      <c r="BG214" s="10">
        <v>7</v>
      </c>
      <c r="BH214" s="10">
        <v>1</v>
      </c>
    </row>
    <row r="215" spans="47:60" x14ac:dyDescent="0.35">
      <c r="AU215" s="10"/>
      <c r="AV215" s="10"/>
      <c r="AW215" s="10"/>
      <c r="AX215" s="10"/>
      <c r="AZ215" s="112"/>
      <c r="BA215" s="10"/>
      <c r="BB215" s="10"/>
      <c r="BD215" s="10">
        <v>212</v>
      </c>
      <c r="BE215" s="10">
        <v>141</v>
      </c>
      <c r="BF215" s="10">
        <v>13</v>
      </c>
      <c r="BG215" s="10">
        <v>5</v>
      </c>
      <c r="BH215" s="10">
        <v>2</v>
      </c>
    </row>
    <row r="216" spans="47:60" x14ac:dyDescent="0.35">
      <c r="AU216" s="10"/>
      <c r="AV216" s="10"/>
      <c r="AW216" s="10"/>
      <c r="AX216" s="10"/>
      <c r="AZ216" s="112"/>
      <c r="BA216" s="10"/>
      <c r="BB216" s="10"/>
      <c r="BD216" s="10">
        <v>213</v>
      </c>
      <c r="BE216" s="10">
        <v>141</v>
      </c>
      <c r="BF216" s="10">
        <v>15</v>
      </c>
      <c r="BG216" s="10">
        <v>5</v>
      </c>
      <c r="BH216" s="10">
        <v>2</v>
      </c>
    </row>
    <row r="217" spans="47:60" x14ac:dyDescent="0.35">
      <c r="AU217" s="10"/>
      <c r="AV217" s="10"/>
      <c r="AW217" s="10"/>
      <c r="AX217" s="10"/>
      <c r="AZ217" s="112"/>
      <c r="BA217" s="10"/>
      <c r="BB217" s="10"/>
      <c r="BD217" s="10">
        <v>214</v>
      </c>
      <c r="BE217" s="10">
        <v>142</v>
      </c>
      <c r="BF217" s="10">
        <v>12</v>
      </c>
      <c r="BG217" s="10">
        <v>6</v>
      </c>
      <c r="BH217" s="10">
        <v>3</v>
      </c>
    </row>
    <row r="218" spans="47:60" x14ac:dyDescent="0.35">
      <c r="AU218" s="10"/>
      <c r="AV218" s="10"/>
      <c r="AW218" s="10"/>
      <c r="AX218" s="10"/>
      <c r="AZ218" s="112"/>
      <c r="BA218" s="10"/>
      <c r="BB218" s="10"/>
      <c r="BD218" s="10">
        <v>215</v>
      </c>
      <c r="BE218" s="10">
        <v>142</v>
      </c>
      <c r="BF218" s="10">
        <v>15</v>
      </c>
      <c r="BG218" s="10">
        <v>6</v>
      </c>
      <c r="BH218" s="10">
        <v>3</v>
      </c>
    </row>
    <row r="219" spans="47:60" x14ac:dyDescent="0.35">
      <c r="AU219" s="10"/>
      <c r="AV219" s="10"/>
      <c r="AW219" s="10"/>
      <c r="AX219" s="10"/>
      <c r="AZ219" s="112"/>
      <c r="BA219" s="10"/>
      <c r="BB219" s="10"/>
      <c r="BD219" s="10">
        <v>216</v>
      </c>
      <c r="BE219" s="10">
        <v>143</v>
      </c>
      <c r="BF219" s="10">
        <v>2</v>
      </c>
      <c r="BG219" s="10">
        <v>3</v>
      </c>
      <c r="BH219" s="10">
        <v>4</v>
      </c>
    </row>
    <row r="220" spans="47:60" x14ac:dyDescent="0.35">
      <c r="AU220" s="10"/>
      <c r="AV220" s="10"/>
      <c r="AW220" s="10"/>
      <c r="AX220" s="10"/>
      <c r="AZ220" s="112"/>
      <c r="BA220" s="10"/>
      <c r="BB220" s="10"/>
      <c r="BD220" s="10">
        <v>217</v>
      </c>
      <c r="BE220" s="10">
        <v>144</v>
      </c>
      <c r="BF220" s="10">
        <v>2</v>
      </c>
      <c r="BG220" s="10">
        <v>8</v>
      </c>
      <c r="BH220" s="10">
        <v>1</v>
      </c>
    </row>
    <row r="221" spans="47:60" x14ac:dyDescent="0.35">
      <c r="AU221" s="10"/>
      <c r="AV221" s="10"/>
      <c r="AW221" s="10"/>
      <c r="AX221" s="10"/>
      <c r="AZ221" s="112"/>
      <c r="BA221" s="10"/>
      <c r="BB221" s="10"/>
      <c r="BD221" s="10">
        <v>218</v>
      </c>
      <c r="BE221" s="10">
        <v>145</v>
      </c>
      <c r="BF221" s="10">
        <v>2</v>
      </c>
      <c r="BG221" s="10">
        <v>8</v>
      </c>
      <c r="BH221" s="10">
        <v>3</v>
      </c>
    </row>
    <row r="222" spans="47:60" x14ac:dyDescent="0.35">
      <c r="AU222" s="10"/>
      <c r="AV222" s="10"/>
      <c r="AW222" s="10"/>
      <c r="AX222" s="10"/>
      <c r="AZ222" s="112"/>
      <c r="BA222" s="10"/>
      <c r="BB222" s="10"/>
      <c r="BD222" s="10">
        <v>219</v>
      </c>
      <c r="BE222" s="10">
        <v>145</v>
      </c>
      <c r="BF222" s="10">
        <v>3</v>
      </c>
      <c r="BG222" s="10">
        <v>8</v>
      </c>
      <c r="BH222" s="10">
        <v>3</v>
      </c>
    </row>
    <row r="223" spans="47:60" x14ac:dyDescent="0.35">
      <c r="AU223" s="10"/>
      <c r="AV223" s="10"/>
      <c r="AW223" s="10"/>
      <c r="AX223" s="10"/>
      <c r="AZ223" s="112"/>
      <c r="BA223" s="10"/>
      <c r="BB223" s="10"/>
      <c r="BD223" s="10">
        <v>220</v>
      </c>
      <c r="BE223" s="10">
        <v>146</v>
      </c>
      <c r="BF223" s="10">
        <v>5</v>
      </c>
      <c r="BG223" s="10">
        <v>3</v>
      </c>
      <c r="BH223" s="10">
        <v>7</v>
      </c>
    </row>
    <row r="224" spans="47:60" x14ac:dyDescent="0.35">
      <c r="AU224" s="10"/>
      <c r="AV224" s="10"/>
      <c r="AW224" s="10"/>
      <c r="AX224" s="10"/>
      <c r="AZ224" s="112"/>
      <c r="BA224" s="10"/>
      <c r="BB224" s="10"/>
      <c r="BD224" s="10">
        <v>221</v>
      </c>
      <c r="BE224" s="10">
        <v>147</v>
      </c>
      <c r="BF224" s="10">
        <v>1</v>
      </c>
      <c r="BG224" s="10">
        <v>2</v>
      </c>
      <c r="BH224" s="10">
        <v>5</v>
      </c>
    </row>
    <row r="225" spans="47:60" x14ac:dyDescent="0.35">
      <c r="AU225" s="10"/>
      <c r="AV225" s="10"/>
      <c r="AW225" s="10"/>
      <c r="AX225" s="10"/>
      <c r="AZ225" s="112"/>
      <c r="BA225" s="10"/>
      <c r="BB225" s="10"/>
      <c r="BD225" s="10">
        <v>222</v>
      </c>
      <c r="BE225" s="10">
        <v>148</v>
      </c>
      <c r="BF225" s="10">
        <v>5</v>
      </c>
      <c r="BG225" s="10">
        <v>5</v>
      </c>
      <c r="BH225" s="10">
        <v>4</v>
      </c>
    </row>
    <row r="226" spans="47:60" x14ac:dyDescent="0.35">
      <c r="AU226" s="10"/>
      <c r="AV226" s="10"/>
      <c r="AW226" s="10"/>
      <c r="AX226" s="10"/>
      <c r="AZ226" s="112"/>
      <c r="BA226" s="10"/>
      <c r="BB226" s="10"/>
      <c r="BD226" s="10">
        <v>223</v>
      </c>
      <c r="BE226" s="10">
        <v>149</v>
      </c>
      <c r="BF226" s="10">
        <v>2</v>
      </c>
      <c r="BG226" s="10">
        <v>8</v>
      </c>
      <c r="BH226" s="10">
        <v>6</v>
      </c>
    </row>
    <row r="227" spans="47:60" x14ac:dyDescent="0.35">
      <c r="AU227" s="10"/>
      <c r="AV227" s="10"/>
      <c r="AW227" s="10"/>
      <c r="AX227" s="10"/>
      <c r="AZ227" s="112"/>
      <c r="BA227" s="10"/>
      <c r="BB227" s="10"/>
      <c r="BD227" s="10">
        <v>224</v>
      </c>
      <c r="BE227" s="10">
        <v>150</v>
      </c>
      <c r="BF227" s="10">
        <v>4</v>
      </c>
      <c r="BG227" s="10">
        <v>3</v>
      </c>
      <c r="BH227" s="10">
        <v>7</v>
      </c>
    </row>
    <row r="228" spans="47:60" x14ac:dyDescent="0.35">
      <c r="AU228" s="10"/>
      <c r="AV228" s="10"/>
      <c r="AW228" s="10"/>
      <c r="AX228" s="10"/>
      <c r="AZ228" s="112"/>
      <c r="BA228" s="10"/>
      <c r="BB228" s="10"/>
      <c r="BD228" s="10">
        <v>225</v>
      </c>
      <c r="BE228" s="10">
        <v>150</v>
      </c>
      <c r="BF228" s="10">
        <v>7</v>
      </c>
      <c r="BG228" s="10">
        <v>3</v>
      </c>
      <c r="BH228" s="10">
        <v>7</v>
      </c>
    </row>
    <row r="229" spans="47:60" x14ac:dyDescent="0.35">
      <c r="AU229" s="10"/>
      <c r="AV229" s="10"/>
      <c r="AW229" s="10"/>
      <c r="AX229" s="10"/>
      <c r="AZ229" s="112"/>
      <c r="BA229" s="10"/>
      <c r="BB229" s="10"/>
      <c r="BD229" s="10">
        <v>226</v>
      </c>
      <c r="BE229" s="10">
        <v>151</v>
      </c>
      <c r="BF229" s="10">
        <v>1</v>
      </c>
      <c r="BG229" s="10">
        <v>2</v>
      </c>
      <c r="BH229" s="10">
        <v>1</v>
      </c>
    </row>
    <row r="230" spans="47:60" x14ac:dyDescent="0.35">
      <c r="AU230" s="10"/>
      <c r="AV230" s="10"/>
      <c r="AW230" s="10"/>
      <c r="AX230" s="10"/>
      <c r="AZ230" s="112"/>
      <c r="BA230" s="10"/>
      <c r="BB230" s="10"/>
      <c r="BD230" s="10">
        <v>227</v>
      </c>
      <c r="BE230" s="10">
        <v>151</v>
      </c>
      <c r="BF230" s="10">
        <v>5</v>
      </c>
      <c r="BG230" s="10">
        <v>2</v>
      </c>
      <c r="BH230" s="10">
        <v>1</v>
      </c>
    </row>
    <row r="231" spans="47:60" x14ac:dyDescent="0.35">
      <c r="AU231" s="10"/>
      <c r="AV231" s="10"/>
      <c r="AW231" s="10"/>
      <c r="AX231" s="10"/>
      <c r="AZ231" s="112"/>
      <c r="BA231" s="10"/>
      <c r="BB231" s="10"/>
      <c r="BD231" s="10">
        <v>228</v>
      </c>
      <c r="BE231" s="10">
        <v>152</v>
      </c>
      <c r="BF231" s="10">
        <v>1</v>
      </c>
      <c r="BG231" s="10">
        <v>1</v>
      </c>
      <c r="BH231" s="10">
        <v>2</v>
      </c>
    </row>
    <row r="232" spans="47:60" x14ac:dyDescent="0.35">
      <c r="AU232" s="10"/>
      <c r="AV232" s="10"/>
      <c r="AW232" s="10"/>
      <c r="AX232" s="10"/>
      <c r="AZ232" s="112"/>
      <c r="BA232" s="10"/>
      <c r="BB232" s="10"/>
      <c r="BD232" s="10">
        <v>229</v>
      </c>
      <c r="BE232" s="10">
        <v>152</v>
      </c>
      <c r="BF232" s="10">
        <v>7</v>
      </c>
      <c r="BG232" s="10">
        <v>1</v>
      </c>
      <c r="BH232" s="10">
        <v>2</v>
      </c>
    </row>
    <row r="233" spans="47:60" x14ac:dyDescent="0.35">
      <c r="AU233" s="10"/>
      <c r="AV233" s="10"/>
      <c r="AW233" s="10"/>
      <c r="AX233" s="10"/>
      <c r="AZ233" s="112"/>
      <c r="BA233" s="10"/>
      <c r="BB233" s="10"/>
      <c r="BD233" s="10">
        <v>230</v>
      </c>
      <c r="BE233" s="10">
        <v>153</v>
      </c>
      <c r="BF233" s="10">
        <v>1</v>
      </c>
      <c r="BG233" s="10">
        <v>1</v>
      </c>
      <c r="BH233" s="10">
        <v>6</v>
      </c>
    </row>
    <row r="234" spans="47:60" x14ac:dyDescent="0.35">
      <c r="AU234" s="10"/>
      <c r="AV234" s="10"/>
      <c r="AW234" s="10"/>
      <c r="AX234" s="10"/>
      <c r="AZ234" s="112"/>
      <c r="BA234" s="10"/>
      <c r="BB234" s="10"/>
      <c r="BD234" s="10">
        <v>231</v>
      </c>
      <c r="BE234" s="10">
        <v>153</v>
      </c>
      <c r="BF234" s="10">
        <v>3</v>
      </c>
      <c r="BG234" s="10">
        <v>1</v>
      </c>
      <c r="BH234" s="10">
        <v>6</v>
      </c>
    </row>
    <row r="235" spans="47:60" x14ac:dyDescent="0.35">
      <c r="AU235" s="10"/>
      <c r="AV235" s="10"/>
      <c r="AW235" s="10"/>
      <c r="AX235" s="10"/>
      <c r="AZ235" s="112"/>
      <c r="BA235" s="10"/>
      <c r="BB235" s="10"/>
      <c r="BD235" s="10">
        <v>232</v>
      </c>
      <c r="BE235" s="10">
        <v>154</v>
      </c>
      <c r="BF235" s="10">
        <v>5</v>
      </c>
      <c r="BG235" s="10">
        <v>6</v>
      </c>
      <c r="BH235" s="10">
        <v>7</v>
      </c>
    </row>
    <row r="236" spans="47:60" x14ac:dyDescent="0.35">
      <c r="AU236" s="10"/>
      <c r="AV236" s="10"/>
      <c r="AW236" s="10"/>
      <c r="AX236" s="10"/>
      <c r="AZ236" s="112"/>
      <c r="BA236" s="10"/>
      <c r="BB236" s="10"/>
      <c r="BD236" s="10">
        <v>233</v>
      </c>
      <c r="BE236" s="10">
        <v>155</v>
      </c>
      <c r="BF236" s="10">
        <v>5</v>
      </c>
      <c r="BG236" s="10">
        <v>5</v>
      </c>
      <c r="BH236" s="10">
        <v>7</v>
      </c>
    </row>
    <row r="237" spans="47:60" x14ac:dyDescent="0.35">
      <c r="AU237" s="10"/>
      <c r="AV237" s="10"/>
      <c r="AW237" s="10"/>
      <c r="AX237" s="10"/>
      <c r="AZ237" s="112"/>
      <c r="BA237" s="10"/>
      <c r="BB237" s="10"/>
      <c r="BD237" s="10">
        <v>234</v>
      </c>
      <c r="BE237" s="10">
        <v>156</v>
      </c>
      <c r="BF237" s="10">
        <v>4</v>
      </c>
      <c r="BG237" s="10">
        <v>4</v>
      </c>
      <c r="BH237" s="10">
        <v>7</v>
      </c>
    </row>
    <row r="238" spans="47:60" x14ac:dyDescent="0.35">
      <c r="AU238" s="10"/>
      <c r="AV238" s="10"/>
      <c r="AW238" s="10"/>
      <c r="AX238" s="10"/>
      <c r="AZ238" s="112"/>
      <c r="BA238" s="10"/>
      <c r="BB238" s="10"/>
      <c r="BD238" s="10">
        <v>235</v>
      </c>
      <c r="BE238" s="10">
        <v>156</v>
      </c>
      <c r="BF238" s="10">
        <v>5</v>
      </c>
      <c r="BG238" s="10">
        <v>4</v>
      </c>
      <c r="BH238" s="10">
        <v>7</v>
      </c>
    </row>
    <row r="239" spans="47:60" x14ac:dyDescent="0.35">
      <c r="AU239" s="10"/>
      <c r="AV239" s="10"/>
      <c r="AW239" s="10"/>
      <c r="AX239" s="10"/>
      <c r="AZ239" s="112"/>
      <c r="BA239" s="10"/>
      <c r="BB239" s="10"/>
      <c r="BD239" s="10">
        <v>236</v>
      </c>
      <c r="BE239" s="10">
        <v>157</v>
      </c>
      <c r="BF239" s="10">
        <v>4</v>
      </c>
      <c r="BG239" s="10">
        <v>7</v>
      </c>
      <c r="BH239" s="10">
        <v>5</v>
      </c>
    </row>
    <row r="240" spans="47:60" x14ac:dyDescent="0.35">
      <c r="AU240" s="10"/>
      <c r="AV240" s="10"/>
      <c r="AW240" s="10"/>
      <c r="AX240" s="10"/>
      <c r="AZ240" s="112"/>
      <c r="BA240" s="10"/>
      <c r="BB240" s="10"/>
      <c r="BD240" s="10">
        <v>237</v>
      </c>
      <c r="BE240" s="10">
        <v>158</v>
      </c>
      <c r="BF240" s="10">
        <v>1</v>
      </c>
      <c r="BG240" s="10">
        <v>4</v>
      </c>
      <c r="BH240" s="10">
        <v>4</v>
      </c>
    </row>
    <row r="241" spans="47:60" x14ac:dyDescent="0.35">
      <c r="AU241" s="10"/>
      <c r="AV241" s="10"/>
      <c r="AW241" s="10"/>
      <c r="AX241" s="10"/>
      <c r="AZ241" s="112"/>
      <c r="BA241" s="10"/>
      <c r="BB241" s="10"/>
      <c r="BD241" s="10">
        <v>238</v>
      </c>
      <c r="BE241" s="10">
        <v>159</v>
      </c>
      <c r="BF241" s="10">
        <v>3</v>
      </c>
      <c r="BG241" s="10">
        <v>7</v>
      </c>
      <c r="BH241" s="10">
        <v>1</v>
      </c>
    </row>
    <row r="242" spans="47:60" x14ac:dyDescent="0.35">
      <c r="AU242" s="10"/>
      <c r="AV242" s="10"/>
      <c r="AW242" s="10"/>
      <c r="AX242" s="10"/>
      <c r="AZ242" s="112"/>
      <c r="BA242" s="10"/>
      <c r="BB242" s="10"/>
      <c r="BD242" s="10">
        <v>239</v>
      </c>
      <c r="BE242" s="10">
        <v>160</v>
      </c>
      <c r="BF242" s="10">
        <v>5</v>
      </c>
      <c r="BG242" s="10">
        <v>5</v>
      </c>
      <c r="BH242" s="10">
        <v>3</v>
      </c>
    </row>
    <row r="243" spans="47:60" x14ac:dyDescent="0.35">
      <c r="AU243" s="10"/>
      <c r="AV243" s="10"/>
      <c r="AW243" s="10"/>
      <c r="AX243" s="10"/>
      <c r="AZ243" s="112"/>
      <c r="BA243" s="10"/>
      <c r="BB243" s="10"/>
      <c r="BD243" s="10">
        <v>240</v>
      </c>
      <c r="BE243" s="10">
        <v>161</v>
      </c>
      <c r="BF243" s="10">
        <v>1</v>
      </c>
      <c r="BG243" s="10">
        <v>6</v>
      </c>
      <c r="BH243" s="10">
        <v>3</v>
      </c>
    </row>
    <row r="244" spans="47:60" x14ac:dyDescent="0.35">
      <c r="AU244" s="10"/>
      <c r="AV244" s="10"/>
      <c r="AW244" s="10"/>
      <c r="AX244" s="10"/>
      <c r="AZ244" s="112"/>
      <c r="BA244" s="10"/>
      <c r="BB244" s="10"/>
      <c r="BD244" s="10">
        <v>241</v>
      </c>
      <c r="BE244" s="10">
        <v>162</v>
      </c>
      <c r="BF244" s="10">
        <v>3</v>
      </c>
      <c r="BG244" s="10">
        <v>6</v>
      </c>
      <c r="BH244" s="10">
        <v>4</v>
      </c>
    </row>
    <row r="245" spans="47:60" x14ac:dyDescent="0.35">
      <c r="AU245" s="10"/>
      <c r="AV245" s="10"/>
      <c r="AW245" s="10"/>
      <c r="AX245" s="10"/>
      <c r="AZ245" s="112"/>
      <c r="BA245" s="10"/>
      <c r="BB245" s="10"/>
      <c r="BD245" s="10">
        <v>242</v>
      </c>
      <c r="BE245" s="10">
        <v>163</v>
      </c>
      <c r="BF245" s="10">
        <v>2</v>
      </c>
      <c r="BG245" s="10">
        <v>4</v>
      </c>
      <c r="BH245" s="10">
        <v>6</v>
      </c>
    </row>
    <row r="246" spans="47:60" x14ac:dyDescent="0.35">
      <c r="AU246" s="10"/>
      <c r="AV246" s="10"/>
      <c r="AW246" s="10"/>
      <c r="AX246" s="10"/>
      <c r="AZ246" s="112"/>
      <c r="BA246" s="10"/>
      <c r="BB246" s="10"/>
      <c r="BD246" s="10">
        <v>243</v>
      </c>
      <c r="BE246" s="10">
        <v>164</v>
      </c>
      <c r="BF246" s="10">
        <v>3</v>
      </c>
      <c r="BG246" s="10">
        <v>5</v>
      </c>
      <c r="BH246" s="10">
        <v>2</v>
      </c>
    </row>
    <row r="247" spans="47:60" x14ac:dyDescent="0.35">
      <c r="AU247" s="10"/>
      <c r="AV247" s="10"/>
      <c r="AW247" s="10"/>
      <c r="AX247" s="10"/>
      <c r="AZ247" s="112"/>
      <c r="BA247" s="10"/>
      <c r="BB247" s="10"/>
      <c r="BD247" s="10">
        <v>244</v>
      </c>
      <c r="BE247" s="10">
        <v>165</v>
      </c>
      <c r="BF247" s="10">
        <v>3</v>
      </c>
      <c r="BG247" s="10">
        <v>5</v>
      </c>
      <c r="BH247" s="10">
        <v>5</v>
      </c>
    </row>
    <row r="248" spans="47:60" x14ac:dyDescent="0.35">
      <c r="AU248" s="10"/>
      <c r="AV248" s="10"/>
      <c r="AW248" s="10"/>
      <c r="AX248" s="10"/>
      <c r="AZ248" s="112"/>
      <c r="BA248" s="10"/>
      <c r="BB248" s="10"/>
      <c r="BD248" s="10">
        <v>245</v>
      </c>
      <c r="BE248" s="10">
        <v>166</v>
      </c>
      <c r="BF248" s="10">
        <v>2</v>
      </c>
      <c r="BG248" s="10">
        <v>6</v>
      </c>
      <c r="BH248" s="10">
        <v>5</v>
      </c>
    </row>
    <row r="249" spans="47:60" x14ac:dyDescent="0.35">
      <c r="AU249" s="10"/>
      <c r="AV249" s="10"/>
      <c r="AW249" s="10"/>
      <c r="AX249" s="10"/>
      <c r="AZ249" s="112"/>
      <c r="BA249" s="10"/>
      <c r="BB249" s="10"/>
      <c r="BD249" s="10">
        <v>246</v>
      </c>
      <c r="BE249" s="10">
        <v>167</v>
      </c>
      <c r="BF249" s="10">
        <v>2</v>
      </c>
      <c r="BG249" s="10">
        <v>2</v>
      </c>
      <c r="BH249" s="10">
        <v>5</v>
      </c>
    </row>
    <row r="250" spans="47:60" x14ac:dyDescent="0.35">
      <c r="AU250" s="10"/>
      <c r="AV250" s="10"/>
      <c r="AW250" s="10"/>
      <c r="AX250" s="10"/>
      <c r="AZ250" s="112"/>
      <c r="BA250" s="10"/>
      <c r="BB250" s="10"/>
      <c r="BD250" s="10">
        <v>247</v>
      </c>
      <c r="BE250" s="10">
        <v>168</v>
      </c>
      <c r="BF250" s="10">
        <v>13</v>
      </c>
      <c r="BG250" s="10">
        <v>5</v>
      </c>
      <c r="BH250" s="10">
        <v>1</v>
      </c>
    </row>
    <row r="251" spans="47:60" x14ac:dyDescent="0.35">
      <c r="BD251" s="10">
        <v>248</v>
      </c>
      <c r="BE251" s="10">
        <v>169</v>
      </c>
      <c r="BF251" s="10">
        <v>2</v>
      </c>
      <c r="BG251" s="10">
        <v>2</v>
      </c>
      <c r="BH251" s="10">
        <v>7</v>
      </c>
    </row>
    <row r="252" spans="47:60" x14ac:dyDescent="0.35">
      <c r="BD252" s="10">
        <v>249</v>
      </c>
      <c r="BE252" s="10">
        <v>170</v>
      </c>
      <c r="BF252" s="10">
        <v>8</v>
      </c>
      <c r="BG252" s="10">
        <v>6</v>
      </c>
      <c r="BH252" s="10">
        <v>7</v>
      </c>
    </row>
    <row r="253" spans="47:60" x14ac:dyDescent="0.35">
      <c r="BD253" s="10">
        <v>250</v>
      </c>
      <c r="BE253" s="10">
        <v>171</v>
      </c>
      <c r="BF253" s="10">
        <v>1</v>
      </c>
      <c r="BG253" s="10">
        <v>6</v>
      </c>
      <c r="BH253" s="10">
        <v>7</v>
      </c>
    </row>
  </sheetData>
  <mergeCells count="9">
    <mergeCell ref="F2:H2"/>
    <mergeCell ref="AZ1:BB1"/>
    <mergeCell ref="A1:B1"/>
    <mergeCell ref="J2:K2"/>
    <mergeCell ref="J25:K25"/>
    <mergeCell ref="M2:AB2"/>
    <mergeCell ref="AD2:AS2"/>
    <mergeCell ref="AU1:AX1"/>
    <mergeCell ref="AU2:AU3"/>
  </mergeCells>
  <hyperlinks>
    <hyperlink ref="AV166" r:id="rId1" display="http://egitimdeyapilanma.istanbul.edu.tr/izlence.php?id=26533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72"/>
  <sheetViews>
    <sheetView workbookViewId="0">
      <selection activeCell="B3" sqref="B3"/>
    </sheetView>
  </sheetViews>
  <sheetFormatPr defaultColWidth="20" defaultRowHeight="16.5" customHeight="1" x14ac:dyDescent="0.35"/>
  <cols>
    <col min="2" max="2" width="52" bestFit="1" customWidth="1"/>
    <col min="3" max="3" width="14.26953125" bestFit="1" customWidth="1"/>
    <col min="4" max="4" width="10.08984375" bestFit="1" customWidth="1"/>
    <col min="5" max="5" width="10.90625" bestFit="1" customWidth="1"/>
    <col min="6" max="6" width="10.81640625" bestFit="1" customWidth="1"/>
    <col min="7" max="7" width="10.08984375" bestFit="1" customWidth="1"/>
    <col min="8" max="8" width="10.7265625" bestFit="1" customWidth="1"/>
    <col min="9" max="9" width="11.26953125" bestFit="1" customWidth="1"/>
    <col min="10" max="10" width="8.08984375" bestFit="1" customWidth="1"/>
    <col min="11" max="11" width="11" bestFit="1" customWidth="1"/>
    <col min="12" max="12" width="11.08984375" bestFit="1" customWidth="1"/>
  </cols>
  <sheetData>
    <row r="1" spans="1:12" ht="42.75" customHeight="1" x14ac:dyDescent="0.35">
      <c r="A1" s="115" t="s">
        <v>308</v>
      </c>
      <c r="B1" s="115" t="s">
        <v>309</v>
      </c>
      <c r="C1" s="115" t="s">
        <v>310</v>
      </c>
      <c r="D1" s="113" t="s">
        <v>311</v>
      </c>
      <c r="E1" s="113" t="s">
        <v>312</v>
      </c>
      <c r="F1" s="113" t="s">
        <v>313</v>
      </c>
      <c r="G1" s="113" t="s">
        <v>314</v>
      </c>
      <c r="H1" s="113" t="s">
        <v>315</v>
      </c>
      <c r="I1" s="113" t="s">
        <v>316</v>
      </c>
      <c r="J1" s="113" t="s">
        <v>317</v>
      </c>
      <c r="K1" s="113" t="s">
        <v>318</v>
      </c>
      <c r="L1" s="113" t="s">
        <v>319</v>
      </c>
    </row>
    <row r="2" spans="1:12" ht="16.5" customHeight="1" x14ac:dyDescent="0.35">
      <c r="A2" s="14">
        <v>1</v>
      </c>
      <c r="B2" s="128" t="s">
        <v>49</v>
      </c>
      <c r="C2" s="116">
        <v>70</v>
      </c>
      <c r="D2" s="116">
        <v>1</v>
      </c>
      <c r="E2" s="5">
        <v>1</v>
      </c>
      <c r="F2" s="5">
        <v>1</v>
      </c>
      <c r="G2" s="117">
        <v>0</v>
      </c>
      <c r="H2" s="5">
        <f>IF(G2=0,IF(C2&lt;67,0,1),IF(C2&lt;26,0,1))</f>
        <v>1</v>
      </c>
      <c r="I2" s="2" t="s">
        <v>2</v>
      </c>
      <c r="J2" s="2">
        <v>1</v>
      </c>
      <c r="K2" s="2">
        <v>4</v>
      </c>
      <c r="L2" s="2">
        <v>6</v>
      </c>
    </row>
    <row r="3" spans="1:12" ht="16.5" customHeight="1" x14ac:dyDescent="0.35">
      <c r="A3" s="14">
        <v>2</v>
      </c>
      <c r="B3" s="129" t="s">
        <v>50</v>
      </c>
      <c r="C3" s="116">
        <v>71</v>
      </c>
      <c r="D3" s="116">
        <v>1</v>
      </c>
      <c r="E3" s="5">
        <v>1</v>
      </c>
      <c r="F3" s="5">
        <v>1</v>
      </c>
      <c r="G3" s="117">
        <v>0</v>
      </c>
      <c r="H3" s="5">
        <f t="shared" ref="H3:H66" si="0">IF(G3=0,IF(C3&lt;67,0,1),IF(C3&lt;26,0,1))</f>
        <v>1</v>
      </c>
      <c r="I3" s="2" t="s">
        <v>2</v>
      </c>
      <c r="J3" s="2">
        <v>1</v>
      </c>
      <c r="K3" s="2" t="e">
        <v>#N/A</v>
      </c>
      <c r="L3" s="2" t="e">
        <v>#N/A</v>
      </c>
    </row>
    <row r="4" spans="1:12" ht="16.5" customHeight="1" x14ac:dyDescent="0.35">
      <c r="A4" s="14">
        <v>3</v>
      </c>
      <c r="B4" s="130" t="s">
        <v>51</v>
      </c>
      <c r="C4" s="116">
        <v>71</v>
      </c>
      <c r="D4" s="116">
        <v>1</v>
      </c>
      <c r="E4" s="5">
        <v>1</v>
      </c>
      <c r="F4" s="5">
        <v>1</v>
      </c>
      <c r="G4" s="117">
        <v>0</v>
      </c>
      <c r="H4" s="5">
        <f t="shared" si="0"/>
        <v>1</v>
      </c>
      <c r="I4" s="2" t="s">
        <v>2</v>
      </c>
      <c r="J4" s="2">
        <v>1</v>
      </c>
      <c r="K4" s="2" t="e">
        <v>#N/A</v>
      </c>
      <c r="L4" s="2" t="e">
        <v>#N/A</v>
      </c>
    </row>
    <row r="5" spans="1:12" ht="16.5" customHeight="1" x14ac:dyDescent="0.35">
      <c r="A5" s="14">
        <v>4</v>
      </c>
      <c r="B5" s="129" t="s">
        <v>52</v>
      </c>
      <c r="C5" s="116">
        <v>75</v>
      </c>
      <c r="D5" s="116">
        <v>1</v>
      </c>
      <c r="E5" s="5">
        <v>1</v>
      </c>
      <c r="F5" s="5">
        <v>1</v>
      </c>
      <c r="G5" s="117">
        <v>0</v>
      </c>
      <c r="H5" s="5">
        <f t="shared" si="0"/>
        <v>1</v>
      </c>
      <c r="I5" s="2" t="s">
        <v>2</v>
      </c>
      <c r="J5" s="2">
        <v>1</v>
      </c>
      <c r="K5" s="2" t="e">
        <v>#N/A</v>
      </c>
      <c r="L5" s="2" t="e">
        <v>#N/A</v>
      </c>
    </row>
    <row r="6" spans="1:12" ht="16.5" customHeight="1" x14ac:dyDescent="0.35">
      <c r="A6" s="14">
        <v>5</v>
      </c>
      <c r="B6" s="128" t="s">
        <v>53</v>
      </c>
      <c r="C6" s="116">
        <v>75</v>
      </c>
      <c r="D6" s="116">
        <v>1</v>
      </c>
      <c r="E6" s="5">
        <v>1</v>
      </c>
      <c r="F6" s="5">
        <v>1</v>
      </c>
      <c r="G6" s="117">
        <v>0</v>
      </c>
      <c r="H6" s="5">
        <f t="shared" si="0"/>
        <v>1</v>
      </c>
      <c r="I6" s="2" t="s">
        <v>2</v>
      </c>
      <c r="J6" s="2">
        <v>1</v>
      </c>
      <c r="K6" s="2" t="e">
        <v>#N/A</v>
      </c>
      <c r="L6" s="2" t="e">
        <v>#N/A</v>
      </c>
    </row>
    <row r="7" spans="1:12" ht="16.5" customHeight="1" x14ac:dyDescent="0.35">
      <c r="A7" s="14">
        <v>6</v>
      </c>
      <c r="B7" s="129" t="s">
        <v>54</v>
      </c>
      <c r="C7" s="116">
        <v>88</v>
      </c>
      <c r="D7" s="116">
        <v>1</v>
      </c>
      <c r="E7" s="5">
        <v>1</v>
      </c>
      <c r="F7" s="5">
        <v>1</v>
      </c>
      <c r="G7" s="117">
        <v>0</v>
      </c>
      <c r="H7" s="5">
        <f t="shared" si="0"/>
        <v>1</v>
      </c>
      <c r="I7" s="2" t="s">
        <v>2</v>
      </c>
      <c r="J7" s="2">
        <v>1</v>
      </c>
      <c r="K7" s="2" t="e">
        <v>#N/A</v>
      </c>
      <c r="L7" s="2" t="e">
        <v>#N/A</v>
      </c>
    </row>
    <row r="8" spans="1:12" ht="16.5" customHeight="1" x14ac:dyDescent="0.35">
      <c r="A8" s="14">
        <v>7</v>
      </c>
      <c r="B8" s="128" t="s">
        <v>55</v>
      </c>
      <c r="C8" s="118">
        <v>71</v>
      </c>
      <c r="D8" s="118">
        <v>1</v>
      </c>
      <c r="E8" s="5">
        <v>1</v>
      </c>
      <c r="F8" s="5">
        <v>1</v>
      </c>
      <c r="G8" s="117">
        <v>1</v>
      </c>
      <c r="H8" s="5">
        <f t="shared" si="0"/>
        <v>1</v>
      </c>
      <c r="I8" s="2" t="s">
        <v>2</v>
      </c>
      <c r="J8" s="2">
        <v>1</v>
      </c>
      <c r="K8" s="2" t="e">
        <v>#N/A</v>
      </c>
      <c r="L8" s="2" t="e">
        <v>#N/A</v>
      </c>
    </row>
    <row r="9" spans="1:12" ht="16.5" customHeight="1" x14ac:dyDescent="0.35">
      <c r="A9" s="14">
        <v>8</v>
      </c>
      <c r="B9" s="128" t="s">
        <v>56</v>
      </c>
      <c r="C9" s="116">
        <v>23</v>
      </c>
      <c r="D9" s="116">
        <v>0</v>
      </c>
      <c r="E9" s="5">
        <v>1</v>
      </c>
      <c r="F9" s="5">
        <v>1</v>
      </c>
      <c r="G9" s="117">
        <v>0</v>
      </c>
      <c r="H9" s="5">
        <f t="shared" si="0"/>
        <v>0</v>
      </c>
      <c r="I9" s="2" t="s">
        <v>2</v>
      </c>
      <c r="J9" s="2">
        <v>1</v>
      </c>
      <c r="K9" s="2" t="e">
        <v>#N/A</v>
      </c>
      <c r="L9" s="2" t="e">
        <v>#N/A</v>
      </c>
    </row>
    <row r="10" spans="1:12" ht="16.5" customHeight="1" x14ac:dyDescent="0.35">
      <c r="A10" s="14">
        <v>9</v>
      </c>
      <c r="B10" s="129" t="s">
        <v>57</v>
      </c>
      <c r="C10" s="116">
        <v>50</v>
      </c>
      <c r="D10" s="116">
        <v>0</v>
      </c>
      <c r="E10" s="5">
        <v>1</v>
      </c>
      <c r="F10" s="5">
        <v>1</v>
      </c>
      <c r="G10" s="117">
        <v>0</v>
      </c>
      <c r="H10" s="5">
        <f t="shared" si="0"/>
        <v>0</v>
      </c>
      <c r="I10" s="2" t="s">
        <v>2</v>
      </c>
      <c r="J10" s="2">
        <v>1</v>
      </c>
      <c r="K10" s="2" t="e">
        <v>#N/A</v>
      </c>
      <c r="L10" s="2" t="e">
        <v>#N/A</v>
      </c>
    </row>
    <row r="11" spans="1:12" ht="16.5" customHeight="1" x14ac:dyDescent="0.35">
      <c r="A11" s="14">
        <v>10</v>
      </c>
      <c r="B11" s="128" t="s">
        <v>58</v>
      </c>
      <c r="C11" s="116">
        <v>74</v>
      </c>
      <c r="D11" s="116">
        <v>1</v>
      </c>
      <c r="E11" s="5">
        <v>1</v>
      </c>
      <c r="F11" s="5">
        <v>1</v>
      </c>
      <c r="G11" s="117">
        <v>0</v>
      </c>
      <c r="H11" s="5">
        <f t="shared" si="0"/>
        <v>1</v>
      </c>
      <c r="I11" s="2" t="s">
        <v>2</v>
      </c>
      <c r="J11" s="2">
        <v>1</v>
      </c>
      <c r="K11" s="2">
        <v>6</v>
      </c>
      <c r="L11" s="2">
        <v>6</v>
      </c>
    </row>
    <row r="12" spans="1:12" ht="16.5" customHeight="1" x14ac:dyDescent="0.35">
      <c r="A12" s="14">
        <v>11</v>
      </c>
      <c r="B12" s="129" t="s">
        <v>59</v>
      </c>
      <c r="C12" s="116">
        <v>70</v>
      </c>
      <c r="D12" s="116">
        <v>1</v>
      </c>
      <c r="E12" s="5">
        <v>1</v>
      </c>
      <c r="F12" s="5">
        <v>1</v>
      </c>
      <c r="G12" s="117">
        <v>0</v>
      </c>
      <c r="H12" s="5">
        <f t="shared" si="0"/>
        <v>1</v>
      </c>
      <c r="I12" s="2" t="s">
        <v>2</v>
      </c>
      <c r="J12" s="2">
        <v>1</v>
      </c>
      <c r="K12" s="2">
        <v>5</v>
      </c>
      <c r="L12" s="2">
        <v>6</v>
      </c>
    </row>
    <row r="13" spans="1:12" ht="16.5" customHeight="1" x14ac:dyDescent="0.35">
      <c r="A13" s="14">
        <v>12</v>
      </c>
      <c r="B13" s="128" t="s">
        <v>60</v>
      </c>
      <c r="C13" s="116">
        <v>24</v>
      </c>
      <c r="D13" s="116">
        <v>0</v>
      </c>
      <c r="E13" s="5">
        <v>1</v>
      </c>
      <c r="F13" s="5">
        <v>1</v>
      </c>
      <c r="G13" s="117">
        <v>0</v>
      </c>
      <c r="H13" s="5">
        <f t="shared" si="0"/>
        <v>0</v>
      </c>
      <c r="I13" s="2" t="s">
        <v>2</v>
      </c>
      <c r="J13" s="119">
        <v>2</v>
      </c>
      <c r="K13" s="2" t="e">
        <v>#N/A</v>
      </c>
      <c r="L13" s="2" t="e">
        <v>#N/A</v>
      </c>
    </row>
    <row r="14" spans="1:12" ht="16.5" customHeight="1" x14ac:dyDescent="0.35">
      <c r="A14" s="14">
        <v>13</v>
      </c>
      <c r="B14" s="129" t="s">
        <v>61</v>
      </c>
      <c r="C14" s="116">
        <v>26</v>
      </c>
      <c r="D14" s="116">
        <v>0</v>
      </c>
      <c r="E14" s="5">
        <v>1</v>
      </c>
      <c r="F14" s="5">
        <v>1</v>
      </c>
      <c r="G14" s="117">
        <v>0</v>
      </c>
      <c r="H14" s="5">
        <f t="shared" si="0"/>
        <v>0</v>
      </c>
      <c r="I14" s="2" t="s">
        <v>2</v>
      </c>
      <c r="J14" s="119">
        <v>2</v>
      </c>
      <c r="K14" s="2" t="e">
        <v>#N/A</v>
      </c>
      <c r="L14" s="2" t="e">
        <v>#N/A</v>
      </c>
    </row>
    <row r="15" spans="1:12" ht="16.5" customHeight="1" x14ac:dyDescent="0.35">
      <c r="A15" s="14">
        <v>14</v>
      </c>
      <c r="B15" s="128" t="s">
        <v>62</v>
      </c>
      <c r="C15" s="116">
        <v>26</v>
      </c>
      <c r="D15" s="116">
        <v>0</v>
      </c>
      <c r="E15" s="5">
        <v>1</v>
      </c>
      <c r="F15" s="5">
        <v>1</v>
      </c>
      <c r="G15" s="117">
        <v>0</v>
      </c>
      <c r="H15" s="5">
        <f t="shared" si="0"/>
        <v>0</v>
      </c>
      <c r="I15" s="2" t="s">
        <v>2</v>
      </c>
      <c r="J15" s="119">
        <v>2</v>
      </c>
      <c r="K15" s="2" t="e">
        <v>#N/A</v>
      </c>
      <c r="L15" s="2" t="e">
        <v>#N/A</v>
      </c>
    </row>
    <row r="16" spans="1:12" ht="16.5" customHeight="1" x14ac:dyDescent="0.35">
      <c r="A16" s="14">
        <v>15</v>
      </c>
      <c r="B16" s="129" t="s">
        <v>63</v>
      </c>
      <c r="C16" s="116">
        <v>25</v>
      </c>
      <c r="D16" s="116">
        <v>0</v>
      </c>
      <c r="E16" s="5">
        <v>1</v>
      </c>
      <c r="F16" s="5">
        <v>1</v>
      </c>
      <c r="G16" s="117">
        <v>0</v>
      </c>
      <c r="H16" s="5">
        <f t="shared" si="0"/>
        <v>0</v>
      </c>
      <c r="I16" s="2" t="s">
        <v>2</v>
      </c>
      <c r="J16" s="119">
        <v>2</v>
      </c>
      <c r="K16" s="2" t="e">
        <v>#N/A</v>
      </c>
      <c r="L16" s="2" t="e">
        <v>#N/A</v>
      </c>
    </row>
    <row r="17" spans="1:12" ht="16.5" customHeight="1" x14ac:dyDescent="0.35">
      <c r="A17" s="14">
        <v>16</v>
      </c>
      <c r="B17" s="128" t="s">
        <v>64</v>
      </c>
      <c r="C17" s="116">
        <v>24</v>
      </c>
      <c r="D17" s="116">
        <v>0</v>
      </c>
      <c r="E17" s="5">
        <v>1</v>
      </c>
      <c r="F17" s="5">
        <v>1</v>
      </c>
      <c r="G17" s="117">
        <v>0</v>
      </c>
      <c r="H17" s="5">
        <f t="shared" si="0"/>
        <v>0</v>
      </c>
      <c r="I17" s="2" t="s">
        <v>2</v>
      </c>
      <c r="J17" s="119">
        <v>2</v>
      </c>
      <c r="K17" s="2" t="e">
        <v>#N/A</v>
      </c>
      <c r="L17" s="2" t="e">
        <v>#N/A</v>
      </c>
    </row>
    <row r="18" spans="1:12" ht="16.5" customHeight="1" x14ac:dyDescent="0.35">
      <c r="A18" s="14">
        <v>17</v>
      </c>
      <c r="B18" s="129" t="s">
        <v>65</v>
      </c>
      <c r="C18" s="116">
        <v>29</v>
      </c>
      <c r="D18" s="116">
        <v>0</v>
      </c>
      <c r="E18" s="5">
        <v>1</v>
      </c>
      <c r="F18" s="5">
        <v>1</v>
      </c>
      <c r="G18" s="117">
        <v>0</v>
      </c>
      <c r="H18" s="5">
        <f t="shared" si="0"/>
        <v>0</v>
      </c>
      <c r="I18" s="2" t="s">
        <v>2</v>
      </c>
      <c r="J18" s="119">
        <v>2</v>
      </c>
      <c r="K18" s="2" t="e">
        <v>#N/A</v>
      </c>
      <c r="L18" s="2" t="e">
        <v>#N/A</v>
      </c>
    </row>
    <row r="19" spans="1:12" ht="16.5" customHeight="1" x14ac:dyDescent="0.35">
      <c r="A19" s="14">
        <v>18</v>
      </c>
      <c r="B19" s="129" t="s">
        <v>66</v>
      </c>
      <c r="C19" s="116">
        <v>13</v>
      </c>
      <c r="D19" s="116">
        <v>0</v>
      </c>
      <c r="E19" s="5">
        <v>1</v>
      </c>
      <c r="F19" s="5">
        <v>1</v>
      </c>
      <c r="G19" s="117">
        <v>0</v>
      </c>
      <c r="H19" s="5">
        <f t="shared" si="0"/>
        <v>0</v>
      </c>
      <c r="I19" s="2" t="s">
        <v>2</v>
      </c>
      <c r="J19" s="119">
        <v>2</v>
      </c>
      <c r="K19" s="2" t="e">
        <v>#N/A</v>
      </c>
      <c r="L19" s="2" t="e">
        <v>#N/A</v>
      </c>
    </row>
    <row r="20" spans="1:12" ht="16.5" customHeight="1" x14ac:dyDescent="0.35">
      <c r="A20" s="14">
        <v>19</v>
      </c>
      <c r="B20" s="128" t="s">
        <v>67</v>
      </c>
      <c r="C20" s="116">
        <v>19</v>
      </c>
      <c r="D20" s="116">
        <v>0</v>
      </c>
      <c r="E20" s="5">
        <v>1</v>
      </c>
      <c r="F20" s="5">
        <v>1</v>
      </c>
      <c r="G20" s="117">
        <v>0</v>
      </c>
      <c r="H20" s="5">
        <f t="shared" si="0"/>
        <v>0</v>
      </c>
      <c r="I20" s="2" t="s">
        <v>2</v>
      </c>
      <c r="J20" s="119">
        <v>2</v>
      </c>
      <c r="K20" s="2" t="e">
        <v>#N/A</v>
      </c>
      <c r="L20" s="2" t="e">
        <v>#N/A</v>
      </c>
    </row>
    <row r="21" spans="1:12" ht="16.5" customHeight="1" x14ac:dyDescent="0.35">
      <c r="A21" s="14">
        <v>20</v>
      </c>
      <c r="B21" s="128" t="s">
        <v>68</v>
      </c>
      <c r="C21" s="116">
        <v>30</v>
      </c>
      <c r="D21" s="116">
        <v>0</v>
      </c>
      <c r="E21" s="5">
        <v>1</v>
      </c>
      <c r="F21" s="5">
        <v>1</v>
      </c>
      <c r="G21" s="117">
        <v>0</v>
      </c>
      <c r="H21" s="5">
        <f t="shared" si="0"/>
        <v>0</v>
      </c>
      <c r="I21" s="2" t="s">
        <v>2</v>
      </c>
      <c r="J21" s="119">
        <v>2</v>
      </c>
      <c r="K21" s="2" t="e">
        <v>#N/A</v>
      </c>
      <c r="L21" s="2" t="e">
        <v>#N/A</v>
      </c>
    </row>
    <row r="22" spans="1:12" ht="16.5" customHeight="1" x14ac:dyDescent="0.35">
      <c r="A22" s="14">
        <v>21</v>
      </c>
      <c r="B22" s="129" t="s">
        <v>69</v>
      </c>
      <c r="C22" s="116">
        <v>12</v>
      </c>
      <c r="D22" s="116">
        <v>0</v>
      </c>
      <c r="E22" s="5">
        <v>1</v>
      </c>
      <c r="F22" s="5">
        <v>1</v>
      </c>
      <c r="G22" s="117">
        <v>0</v>
      </c>
      <c r="H22" s="5">
        <f t="shared" si="0"/>
        <v>0</v>
      </c>
      <c r="I22" s="2" t="s">
        <v>2</v>
      </c>
      <c r="J22" s="119">
        <v>2</v>
      </c>
      <c r="K22" s="2" t="e">
        <v>#N/A</v>
      </c>
      <c r="L22" s="2" t="e">
        <v>#N/A</v>
      </c>
    </row>
    <row r="23" spans="1:12" ht="16.5" customHeight="1" x14ac:dyDescent="0.35">
      <c r="A23" s="14">
        <v>22</v>
      </c>
      <c r="B23" s="131" t="s">
        <v>70</v>
      </c>
      <c r="C23" s="116">
        <v>19</v>
      </c>
      <c r="D23" s="116">
        <v>0</v>
      </c>
      <c r="E23" s="5">
        <v>1</v>
      </c>
      <c r="F23" s="5">
        <v>1</v>
      </c>
      <c r="G23" s="117">
        <v>0</v>
      </c>
      <c r="H23" s="5">
        <f t="shared" si="0"/>
        <v>0</v>
      </c>
      <c r="I23" s="2" t="s">
        <v>2</v>
      </c>
      <c r="J23" s="119">
        <v>2</v>
      </c>
      <c r="K23" s="2" t="e">
        <v>#N/A</v>
      </c>
      <c r="L23" s="2" t="e">
        <v>#N/A</v>
      </c>
    </row>
    <row r="24" spans="1:12" ht="16.5" customHeight="1" x14ac:dyDescent="0.35">
      <c r="A24" s="14">
        <v>23</v>
      </c>
      <c r="B24" s="132" t="s">
        <v>71</v>
      </c>
      <c r="C24" s="120">
        <v>76</v>
      </c>
      <c r="D24" s="120">
        <v>1</v>
      </c>
      <c r="E24" s="5">
        <v>1</v>
      </c>
      <c r="F24" s="5">
        <v>1</v>
      </c>
      <c r="G24" s="117">
        <v>0</v>
      </c>
      <c r="H24" s="5">
        <f t="shared" si="0"/>
        <v>1</v>
      </c>
      <c r="I24" s="114" t="s">
        <v>1</v>
      </c>
      <c r="J24" s="114">
        <v>1</v>
      </c>
      <c r="K24" s="2" t="e">
        <v>#N/A</v>
      </c>
      <c r="L24" s="2" t="e">
        <v>#N/A</v>
      </c>
    </row>
    <row r="25" spans="1:12" ht="16.5" customHeight="1" x14ac:dyDescent="0.35">
      <c r="A25" s="14">
        <v>24</v>
      </c>
      <c r="B25" s="133" t="s">
        <v>72</v>
      </c>
      <c r="C25" s="120">
        <v>70</v>
      </c>
      <c r="D25" s="120">
        <v>1</v>
      </c>
      <c r="E25" s="5">
        <v>1</v>
      </c>
      <c r="F25" s="5">
        <v>1</v>
      </c>
      <c r="G25" s="117">
        <v>0</v>
      </c>
      <c r="H25" s="5">
        <f t="shared" si="0"/>
        <v>1</v>
      </c>
      <c r="I25" s="114" t="s">
        <v>1</v>
      </c>
      <c r="J25" s="114">
        <v>1</v>
      </c>
      <c r="K25" s="2" t="e">
        <v>#N/A</v>
      </c>
      <c r="L25" s="2" t="e">
        <v>#N/A</v>
      </c>
    </row>
    <row r="26" spans="1:12" ht="16.5" customHeight="1" x14ac:dyDescent="0.35">
      <c r="A26" s="14">
        <v>25</v>
      </c>
      <c r="B26" s="132" t="s">
        <v>73</v>
      </c>
      <c r="C26" s="120">
        <v>91</v>
      </c>
      <c r="D26" s="120">
        <v>1</v>
      </c>
      <c r="E26" s="5">
        <v>1</v>
      </c>
      <c r="F26" s="5">
        <v>1</v>
      </c>
      <c r="G26" s="117">
        <v>0</v>
      </c>
      <c r="H26" s="5">
        <f t="shared" si="0"/>
        <v>1</v>
      </c>
      <c r="I26" s="114" t="s">
        <v>1</v>
      </c>
      <c r="J26" s="114">
        <v>1</v>
      </c>
      <c r="K26" s="2" t="e">
        <v>#N/A</v>
      </c>
      <c r="L26" s="2" t="e">
        <v>#N/A</v>
      </c>
    </row>
    <row r="27" spans="1:12" ht="16.5" customHeight="1" x14ac:dyDescent="0.35">
      <c r="A27" s="14">
        <v>26</v>
      </c>
      <c r="B27" s="133" t="s">
        <v>74</v>
      </c>
      <c r="C27" s="120">
        <v>75</v>
      </c>
      <c r="D27" s="120">
        <v>1</v>
      </c>
      <c r="E27" s="5">
        <v>1</v>
      </c>
      <c r="F27" s="5">
        <v>1</v>
      </c>
      <c r="G27" s="117">
        <v>0</v>
      </c>
      <c r="H27" s="5">
        <f t="shared" si="0"/>
        <v>1</v>
      </c>
      <c r="I27" s="114" t="s">
        <v>1</v>
      </c>
      <c r="J27" s="114">
        <v>1</v>
      </c>
      <c r="K27" s="2" t="e">
        <v>#N/A</v>
      </c>
      <c r="L27" s="2" t="e">
        <v>#N/A</v>
      </c>
    </row>
    <row r="28" spans="1:12" ht="16.5" customHeight="1" x14ac:dyDescent="0.35">
      <c r="A28" s="14">
        <v>27</v>
      </c>
      <c r="B28" s="132" t="s">
        <v>75</v>
      </c>
      <c r="C28" s="120">
        <v>69</v>
      </c>
      <c r="D28" s="120">
        <v>1</v>
      </c>
      <c r="E28" s="5">
        <v>1</v>
      </c>
      <c r="F28" s="5">
        <v>1</v>
      </c>
      <c r="G28" s="117">
        <v>0</v>
      </c>
      <c r="H28" s="5">
        <f t="shared" si="0"/>
        <v>1</v>
      </c>
      <c r="I28" s="114" t="s">
        <v>1</v>
      </c>
      <c r="J28" s="114">
        <v>1</v>
      </c>
      <c r="K28" s="2" t="e">
        <v>#N/A</v>
      </c>
      <c r="L28" s="2" t="e">
        <v>#N/A</v>
      </c>
    </row>
    <row r="29" spans="1:12" ht="16.5" customHeight="1" x14ac:dyDescent="0.35">
      <c r="A29" s="14">
        <v>28</v>
      </c>
      <c r="B29" s="133" t="s">
        <v>76</v>
      </c>
      <c r="C29" s="120">
        <v>67</v>
      </c>
      <c r="D29" s="120">
        <v>1</v>
      </c>
      <c r="E29" s="5">
        <v>1</v>
      </c>
      <c r="F29" s="5">
        <v>1</v>
      </c>
      <c r="G29" s="117">
        <v>0</v>
      </c>
      <c r="H29" s="5">
        <f t="shared" si="0"/>
        <v>1</v>
      </c>
      <c r="I29" s="114" t="s">
        <v>1</v>
      </c>
      <c r="J29" s="114">
        <v>1</v>
      </c>
      <c r="K29" s="2" t="e">
        <v>#N/A</v>
      </c>
      <c r="L29" s="2" t="e">
        <v>#N/A</v>
      </c>
    </row>
    <row r="30" spans="1:12" ht="16.5" customHeight="1" x14ac:dyDescent="0.35">
      <c r="A30" s="14">
        <v>29</v>
      </c>
      <c r="B30" s="132" t="s">
        <v>77</v>
      </c>
      <c r="C30" s="120">
        <v>39</v>
      </c>
      <c r="D30" s="120">
        <v>0</v>
      </c>
      <c r="E30" s="5">
        <v>1</v>
      </c>
      <c r="F30" s="5">
        <v>1</v>
      </c>
      <c r="G30" s="117">
        <v>0</v>
      </c>
      <c r="H30" s="5">
        <f t="shared" si="0"/>
        <v>0</v>
      </c>
      <c r="I30" s="114" t="s">
        <v>1</v>
      </c>
      <c r="J30" s="114">
        <v>1</v>
      </c>
      <c r="K30" s="2" t="e">
        <v>#N/A</v>
      </c>
      <c r="L30" s="2" t="e">
        <v>#N/A</v>
      </c>
    </row>
    <row r="31" spans="1:12" ht="16.5" customHeight="1" x14ac:dyDescent="0.35">
      <c r="A31" s="14">
        <v>30</v>
      </c>
      <c r="B31" s="133" t="s">
        <v>78</v>
      </c>
      <c r="C31" s="120">
        <v>32</v>
      </c>
      <c r="D31" s="120">
        <v>0</v>
      </c>
      <c r="E31" s="5">
        <v>1</v>
      </c>
      <c r="F31" s="5">
        <v>1</v>
      </c>
      <c r="G31" s="117">
        <v>0</v>
      </c>
      <c r="H31" s="5">
        <f t="shared" si="0"/>
        <v>0</v>
      </c>
      <c r="I31" s="114" t="s">
        <v>1</v>
      </c>
      <c r="J31" s="114">
        <v>1</v>
      </c>
      <c r="K31" s="2" t="e">
        <v>#N/A</v>
      </c>
      <c r="L31" s="2" t="e">
        <v>#N/A</v>
      </c>
    </row>
    <row r="32" spans="1:12" ht="16.5" customHeight="1" x14ac:dyDescent="0.35">
      <c r="A32" s="14">
        <v>31</v>
      </c>
      <c r="B32" s="132" t="s">
        <v>79</v>
      </c>
      <c r="C32" s="120">
        <v>68</v>
      </c>
      <c r="D32" s="120">
        <v>1</v>
      </c>
      <c r="E32" s="5">
        <v>1</v>
      </c>
      <c r="F32" s="5">
        <v>1</v>
      </c>
      <c r="G32" s="117">
        <v>0</v>
      </c>
      <c r="H32" s="5">
        <f t="shared" si="0"/>
        <v>1</v>
      </c>
      <c r="I32" s="114" t="s">
        <v>1</v>
      </c>
      <c r="J32" s="114">
        <v>1</v>
      </c>
      <c r="K32" s="2">
        <v>6</v>
      </c>
      <c r="L32" s="2">
        <v>6</v>
      </c>
    </row>
    <row r="33" spans="1:12" ht="16.5" customHeight="1" x14ac:dyDescent="0.35">
      <c r="A33" s="14">
        <v>32</v>
      </c>
      <c r="B33" s="132" t="s">
        <v>80</v>
      </c>
      <c r="C33" s="120">
        <v>74</v>
      </c>
      <c r="D33" s="120">
        <v>1</v>
      </c>
      <c r="E33" s="5">
        <v>1</v>
      </c>
      <c r="F33" s="5">
        <v>1</v>
      </c>
      <c r="G33" s="117">
        <v>0</v>
      </c>
      <c r="H33" s="5">
        <f t="shared" si="0"/>
        <v>1</v>
      </c>
      <c r="I33" s="114" t="s">
        <v>1</v>
      </c>
      <c r="J33" s="114">
        <v>1</v>
      </c>
      <c r="K33" s="2">
        <v>5</v>
      </c>
      <c r="L33" s="2">
        <v>6</v>
      </c>
    </row>
    <row r="34" spans="1:12" ht="16.5" customHeight="1" x14ac:dyDescent="0.35">
      <c r="A34" s="14">
        <v>33</v>
      </c>
      <c r="B34" s="132" t="s">
        <v>81</v>
      </c>
      <c r="C34" s="120">
        <v>69</v>
      </c>
      <c r="D34" s="120">
        <v>1</v>
      </c>
      <c r="E34" s="5">
        <v>1</v>
      </c>
      <c r="F34" s="5">
        <v>1</v>
      </c>
      <c r="G34" s="117">
        <v>0</v>
      </c>
      <c r="H34" s="5">
        <f t="shared" si="0"/>
        <v>1</v>
      </c>
      <c r="I34" s="114" t="s">
        <v>1</v>
      </c>
      <c r="J34" s="114">
        <v>1</v>
      </c>
      <c r="K34" s="2">
        <v>4</v>
      </c>
      <c r="L34" s="2">
        <v>6</v>
      </c>
    </row>
    <row r="35" spans="1:12" ht="16.5" customHeight="1" x14ac:dyDescent="0.35">
      <c r="A35" s="14">
        <v>34</v>
      </c>
      <c r="B35" s="133" t="s">
        <v>82</v>
      </c>
      <c r="C35" s="120">
        <v>36</v>
      </c>
      <c r="D35" s="120">
        <v>0</v>
      </c>
      <c r="E35" s="5">
        <v>1</v>
      </c>
      <c r="F35" s="5">
        <v>1</v>
      </c>
      <c r="G35" s="117">
        <v>0</v>
      </c>
      <c r="H35" s="5">
        <f t="shared" si="0"/>
        <v>0</v>
      </c>
      <c r="I35" s="114" t="s">
        <v>1</v>
      </c>
      <c r="J35" s="114">
        <v>1</v>
      </c>
      <c r="K35" s="2" t="e">
        <v>#N/A</v>
      </c>
      <c r="L35" s="2" t="e">
        <v>#N/A</v>
      </c>
    </row>
    <row r="36" spans="1:12" ht="16.5" customHeight="1" x14ac:dyDescent="0.35">
      <c r="A36" s="14">
        <v>35</v>
      </c>
      <c r="B36" s="132" t="s">
        <v>83</v>
      </c>
      <c r="C36" s="120">
        <v>16</v>
      </c>
      <c r="D36" s="120">
        <v>0</v>
      </c>
      <c r="E36" s="5">
        <v>1</v>
      </c>
      <c r="F36" s="5">
        <v>1</v>
      </c>
      <c r="G36" s="117">
        <v>0</v>
      </c>
      <c r="H36" s="5">
        <f t="shared" si="0"/>
        <v>0</v>
      </c>
      <c r="I36" s="114" t="s">
        <v>1</v>
      </c>
      <c r="J36" s="114">
        <v>1</v>
      </c>
      <c r="K36" s="2" t="e">
        <v>#N/A</v>
      </c>
      <c r="L36" s="2" t="e">
        <v>#N/A</v>
      </c>
    </row>
    <row r="37" spans="1:12" ht="16.5" customHeight="1" x14ac:dyDescent="0.35">
      <c r="A37" s="14">
        <v>36</v>
      </c>
      <c r="B37" s="133" t="s">
        <v>84</v>
      </c>
      <c r="C37" s="120">
        <v>15</v>
      </c>
      <c r="D37" s="120">
        <v>0</v>
      </c>
      <c r="E37" s="5">
        <v>1</v>
      </c>
      <c r="F37" s="5">
        <v>1</v>
      </c>
      <c r="G37" s="117">
        <v>0</v>
      </c>
      <c r="H37" s="5">
        <f t="shared" si="0"/>
        <v>0</v>
      </c>
      <c r="I37" s="114" t="s">
        <v>1</v>
      </c>
      <c r="J37" s="114">
        <v>1</v>
      </c>
      <c r="K37" s="2" t="e">
        <v>#N/A</v>
      </c>
      <c r="L37" s="2" t="e">
        <v>#N/A</v>
      </c>
    </row>
    <row r="38" spans="1:12" ht="16.5" customHeight="1" x14ac:dyDescent="0.35">
      <c r="A38" s="14">
        <v>37</v>
      </c>
      <c r="B38" s="132" t="s">
        <v>85</v>
      </c>
      <c r="C38" s="120">
        <v>48</v>
      </c>
      <c r="D38" s="120">
        <v>0</v>
      </c>
      <c r="E38" s="5">
        <v>1</v>
      </c>
      <c r="F38" s="5">
        <v>1</v>
      </c>
      <c r="G38" s="117">
        <v>0</v>
      </c>
      <c r="H38" s="5">
        <f t="shared" si="0"/>
        <v>0</v>
      </c>
      <c r="I38" s="114" t="s">
        <v>1</v>
      </c>
      <c r="J38" s="114">
        <v>2</v>
      </c>
      <c r="K38" s="2" t="e">
        <v>#N/A</v>
      </c>
      <c r="L38" s="2" t="e">
        <v>#N/A</v>
      </c>
    </row>
    <row r="39" spans="1:12" ht="16.5" customHeight="1" x14ac:dyDescent="0.35">
      <c r="A39" s="14">
        <v>38</v>
      </c>
      <c r="B39" s="133" t="s">
        <v>86</v>
      </c>
      <c r="C39" s="120">
        <v>44</v>
      </c>
      <c r="D39" s="120">
        <v>0</v>
      </c>
      <c r="E39" s="5">
        <v>1</v>
      </c>
      <c r="F39" s="5">
        <v>1</v>
      </c>
      <c r="G39" s="117">
        <v>0</v>
      </c>
      <c r="H39" s="5">
        <f t="shared" si="0"/>
        <v>0</v>
      </c>
      <c r="I39" s="114" t="s">
        <v>1</v>
      </c>
      <c r="J39" s="114">
        <v>2</v>
      </c>
      <c r="K39" s="2" t="e">
        <v>#N/A</v>
      </c>
      <c r="L39" s="2" t="e">
        <v>#N/A</v>
      </c>
    </row>
    <row r="40" spans="1:12" ht="16.5" customHeight="1" x14ac:dyDescent="0.35">
      <c r="A40" s="14">
        <v>39</v>
      </c>
      <c r="B40" s="132" t="s">
        <v>87</v>
      </c>
      <c r="C40" s="120">
        <v>45</v>
      </c>
      <c r="D40" s="120">
        <v>0</v>
      </c>
      <c r="E40" s="5">
        <v>1</v>
      </c>
      <c r="F40" s="5">
        <v>1</v>
      </c>
      <c r="G40" s="117">
        <v>0</v>
      </c>
      <c r="H40" s="5">
        <f t="shared" si="0"/>
        <v>0</v>
      </c>
      <c r="I40" s="114" t="s">
        <v>1</v>
      </c>
      <c r="J40" s="114">
        <v>2</v>
      </c>
      <c r="K40" s="2" t="e">
        <v>#N/A</v>
      </c>
      <c r="L40" s="2" t="e">
        <v>#N/A</v>
      </c>
    </row>
    <row r="41" spans="1:12" ht="16.5" customHeight="1" x14ac:dyDescent="0.35">
      <c r="A41" s="14">
        <v>40</v>
      </c>
      <c r="B41" s="133" t="s">
        <v>88</v>
      </c>
      <c r="C41" s="120">
        <v>44</v>
      </c>
      <c r="D41" s="120">
        <v>0</v>
      </c>
      <c r="E41" s="5">
        <v>1</v>
      </c>
      <c r="F41" s="5">
        <v>1</v>
      </c>
      <c r="G41" s="117">
        <v>0</v>
      </c>
      <c r="H41" s="5">
        <f t="shared" si="0"/>
        <v>0</v>
      </c>
      <c r="I41" s="114" t="s">
        <v>1</v>
      </c>
      <c r="J41" s="114">
        <v>2</v>
      </c>
      <c r="K41" s="2" t="e">
        <v>#N/A</v>
      </c>
      <c r="L41" s="2" t="e">
        <v>#N/A</v>
      </c>
    </row>
    <row r="42" spans="1:12" ht="16.5" customHeight="1" x14ac:dyDescent="0.35">
      <c r="A42" s="14">
        <v>41</v>
      </c>
      <c r="B42" s="132" t="s">
        <v>89</v>
      </c>
      <c r="C42" s="120">
        <v>46</v>
      </c>
      <c r="D42" s="120">
        <v>0</v>
      </c>
      <c r="E42" s="5">
        <v>1</v>
      </c>
      <c r="F42" s="5">
        <v>1</v>
      </c>
      <c r="G42" s="117">
        <v>0</v>
      </c>
      <c r="H42" s="5">
        <f t="shared" si="0"/>
        <v>0</v>
      </c>
      <c r="I42" s="114" t="s">
        <v>1</v>
      </c>
      <c r="J42" s="114">
        <v>2</v>
      </c>
      <c r="K42" s="2" t="e">
        <v>#N/A</v>
      </c>
      <c r="L42" s="2" t="e">
        <v>#N/A</v>
      </c>
    </row>
    <row r="43" spans="1:12" ht="16.5" customHeight="1" x14ac:dyDescent="0.35">
      <c r="A43" s="14">
        <v>42</v>
      </c>
      <c r="B43" s="132" t="s">
        <v>90</v>
      </c>
      <c r="C43" s="120">
        <v>20</v>
      </c>
      <c r="D43" s="120">
        <v>0</v>
      </c>
      <c r="E43" s="5">
        <v>1</v>
      </c>
      <c r="F43" s="5">
        <v>1</v>
      </c>
      <c r="G43" s="117">
        <v>0</v>
      </c>
      <c r="H43" s="5">
        <f t="shared" si="0"/>
        <v>0</v>
      </c>
      <c r="I43" s="114" t="s">
        <v>1</v>
      </c>
      <c r="J43" s="114">
        <v>2</v>
      </c>
      <c r="K43" s="2" t="e">
        <v>#N/A</v>
      </c>
      <c r="L43" s="2" t="e">
        <v>#N/A</v>
      </c>
    </row>
    <row r="44" spans="1:12" ht="16.5" customHeight="1" x14ac:dyDescent="0.35">
      <c r="A44" s="14">
        <v>43</v>
      </c>
      <c r="B44" s="133" t="s">
        <v>91</v>
      </c>
      <c r="C44" s="120">
        <v>17</v>
      </c>
      <c r="D44" s="120">
        <v>0</v>
      </c>
      <c r="E44" s="5">
        <v>1</v>
      </c>
      <c r="F44" s="5">
        <v>1</v>
      </c>
      <c r="G44" s="117">
        <v>0</v>
      </c>
      <c r="H44" s="5">
        <f t="shared" si="0"/>
        <v>0</v>
      </c>
      <c r="I44" s="114" t="s">
        <v>1</v>
      </c>
      <c r="J44" s="114">
        <v>2</v>
      </c>
      <c r="K44" s="2" t="e">
        <v>#N/A</v>
      </c>
      <c r="L44" s="2" t="e">
        <v>#N/A</v>
      </c>
    </row>
    <row r="45" spans="1:12" ht="16.5" customHeight="1" x14ac:dyDescent="0.35">
      <c r="A45" s="14">
        <v>44</v>
      </c>
      <c r="B45" s="132" t="s">
        <v>92</v>
      </c>
      <c r="C45" s="120">
        <v>28</v>
      </c>
      <c r="D45" s="120">
        <v>0</v>
      </c>
      <c r="E45" s="5">
        <v>1</v>
      </c>
      <c r="F45" s="5">
        <v>1</v>
      </c>
      <c r="G45" s="117">
        <v>0</v>
      </c>
      <c r="H45" s="5">
        <f t="shared" si="0"/>
        <v>0</v>
      </c>
      <c r="I45" s="114" t="s">
        <v>1</v>
      </c>
      <c r="J45" s="114">
        <v>2</v>
      </c>
      <c r="K45" s="2" t="e">
        <v>#N/A</v>
      </c>
      <c r="L45" s="2" t="e">
        <v>#N/A</v>
      </c>
    </row>
    <row r="46" spans="1:12" ht="16.5" customHeight="1" x14ac:dyDescent="0.35">
      <c r="A46" s="14">
        <v>45</v>
      </c>
      <c r="B46" s="133" t="s">
        <v>93</v>
      </c>
      <c r="C46" s="120">
        <v>20</v>
      </c>
      <c r="D46" s="120">
        <v>0</v>
      </c>
      <c r="E46" s="5">
        <v>1</v>
      </c>
      <c r="F46" s="5">
        <v>1</v>
      </c>
      <c r="G46" s="117">
        <v>0</v>
      </c>
      <c r="H46" s="5">
        <f t="shared" si="0"/>
        <v>0</v>
      </c>
      <c r="I46" s="114" t="s">
        <v>1</v>
      </c>
      <c r="J46" s="114">
        <v>2</v>
      </c>
      <c r="K46" s="2" t="e">
        <v>#N/A</v>
      </c>
      <c r="L46" s="2" t="e">
        <v>#N/A</v>
      </c>
    </row>
    <row r="47" spans="1:12" ht="16.5" customHeight="1" x14ac:dyDescent="0.35">
      <c r="A47" s="14">
        <v>46</v>
      </c>
      <c r="B47" s="132" t="s">
        <v>94</v>
      </c>
      <c r="C47" s="120">
        <v>17</v>
      </c>
      <c r="D47" s="120">
        <v>0</v>
      </c>
      <c r="E47" s="5">
        <v>1</v>
      </c>
      <c r="F47" s="5">
        <v>1</v>
      </c>
      <c r="G47" s="117">
        <v>0</v>
      </c>
      <c r="H47" s="5">
        <f t="shared" si="0"/>
        <v>0</v>
      </c>
      <c r="I47" s="114" t="s">
        <v>1</v>
      </c>
      <c r="J47" s="114">
        <v>2</v>
      </c>
      <c r="K47" s="2" t="e">
        <v>#N/A</v>
      </c>
      <c r="L47" s="2" t="e">
        <v>#N/A</v>
      </c>
    </row>
    <row r="48" spans="1:12" ht="16.5" customHeight="1" x14ac:dyDescent="0.35">
      <c r="A48" s="14">
        <v>47</v>
      </c>
      <c r="B48" s="133" t="s">
        <v>95</v>
      </c>
      <c r="C48" s="120">
        <v>20</v>
      </c>
      <c r="D48" s="120">
        <v>0</v>
      </c>
      <c r="E48" s="5">
        <v>1</v>
      </c>
      <c r="F48" s="5">
        <v>1</v>
      </c>
      <c r="G48" s="117">
        <v>0</v>
      </c>
      <c r="H48" s="5">
        <f t="shared" si="0"/>
        <v>0</v>
      </c>
      <c r="I48" s="114" t="s">
        <v>1</v>
      </c>
      <c r="J48" s="114">
        <v>2</v>
      </c>
      <c r="K48" s="2" t="e">
        <v>#N/A</v>
      </c>
      <c r="L48" s="2" t="e">
        <v>#N/A</v>
      </c>
    </row>
    <row r="49" spans="1:12" ht="16.5" customHeight="1" x14ac:dyDescent="0.35">
      <c r="A49" s="14">
        <v>48</v>
      </c>
      <c r="B49" s="132" t="s">
        <v>96</v>
      </c>
      <c r="C49" s="120">
        <v>30</v>
      </c>
      <c r="D49" s="120">
        <v>0</v>
      </c>
      <c r="E49" s="5">
        <v>1</v>
      </c>
      <c r="F49" s="5">
        <v>1</v>
      </c>
      <c r="G49" s="117">
        <v>0</v>
      </c>
      <c r="H49" s="5">
        <f t="shared" si="0"/>
        <v>0</v>
      </c>
      <c r="I49" s="114" t="s">
        <v>1</v>
      </c>
      <c r="J49" s="114">
        <v>2</v>
      </c>
      <c r="K49" s="2" t="e">
        <v>#N/A</v>
      </c>
      <c r="L49" s="2" t="e">
        <v>#N/A</v>
      </c>
    </row>
    <row r="50" spans="1:12" ht="16.5" customHeight="1" x14ac:dyDescent="0.35">
      <c r="A50" s="14">
        <v>49</v>
      </c>
      <c r="B50" s="134" t="s">
        <v>97</v>
      </c>
      <c r="C50" s="121">
        <v>135</v>
      </c>
      <c r="D50" s="121">
        <v>1</v>
      </c>
      <c r="E50" s="5">
        <v>1</v>
      </c>
      <c r="F50" s="5">
        <v>1</v>
      </c>
      <c r="G50" s="117">
        <v>0</v>
      </c>
      <c r="H50" s="5">
        <f t="shared" si="0"/>
        <v>1</v>
      </c>
      <c r="I50" s="114" t="s">
        <v>5</v>
      </c>
      <c r="J50" s="114">
        <v>1</v>
      </c>
      <c r="K50" s="2">
        <v>6</v>
      </c>
      <c r="L50" s="2">
        <v>6</v>
      </c>
    </row>
    <row r="51" spans="1:12" ht="16.5" customHeight="1" x14ac:dyDescent="0.35">
      <c r="A51" s="14">
        <v>50</v>
      </c>
      <c r="B51" s="134" t="s">
        <v>98</v>
      </c>
      <c r="C51" s="121">
        <v>121</v>
      </c>
      <c r="D51" s="121">
        <v>1</v>
      </c>
      <c r="E51" s="5">
        <v>1</v>
      </c>
      <c r="F51" s="5">
        <v>1</v>
      </c>
      <c r="G51" s="117">
        <v>0</v>
      </c>
      <c r="H51" s="5">
        <f t="shared" si="0"/>
        <v>1</v>
      </c>
      <c r="I51" s="114" t="s">
        <v>5</v>
      </c>
      <c r="J51" s="114">
        <v>1</v>
      </c>
      <c r="K51" s="2">
        <v>5</v>
      </c>
      <c r="L51" s="2">
        <v>6</v>
      </c>
    </row>
    <row r="52" spans="1:12" ht="16.5" customHeight="1" x14ac:dyDescent="0.35">
      <c r="A52" s="14">
        <v>51</v>
      </c>
      <c r="B52" s="134" t="s">
        <v>99</v>
      </c>
      <c r="C52" s="121">
        <v>104</v>
      </c>
      <c r="D52" s="121">
        <v>1</v>
      </c>
      <c r="E52" s="5">
        <v>1</v>
      </c>
      <c r="F52" s="5">
        <v>1</v>
      </c>
      <c r="G52" s="117">
        <v>0</v>
      </c>
      <c r="H52" s="5">
        <f t="shared" si="0"/>
        <v>1</v>
      </c>
      <c r="I52" s="114" t="s">
        <v>5</v>
      </c>
      <c r="J52" s="114">
        <v>1</v>
      </c>
      <c r="K52" s="2">
        <v>4</v>
      </c>
      <c r="L52" s="2">
        <v>6</v>
      </c>
    </row>
    <row r="53" spans="1:12" ht="16.5" customHeight="1" x14ac:dyDescent="0.35">
      <c r="A53" s="14">
        <v>52</v>
      </c>
      <c r="B53" s="134" t="s">
        <v>100</v>
      </c>
      <c r="C53" s="121">
        <v>54</v>
      </c>
      <c r="D53" s="121">
        <v>0</v>
      </c>
      <c r="E53" s="5">
        <v>1</v>
      </c>
      <c r="F53" s="5">
        <v>1</v>
      </c>
      <c r="G53" s="117">
        <v>0</v>
      </c>
      <c r="H53" s="5">
        <f t="shared" si="0"/>
        <v>0</v>
      </c>
      <c r="I53" s="114" t="s">
        <v>5</v>
      </c>
      <c r="J53" s="114">
        <v>1</v>
      </c>
      <c r="K53" s="2" t="e">
        <v>#N/A</v>
      </c>
      <c r="L53" s="2" t="e">
        <v>#N/A</v>
      </c>
    </row>
    <row r="54" spans="1:12" ht="16.5" customHeight="1" x14ac:dyDescent="0.35">
      <c r="A54" s="14">
        <v>53</v>
      </c>
      <c r="B54" s="134" t="s">
        <v>101</v>
      </c>
      <c r="C54" s="121">
        <v>60</v>
      </c>
      <c r="D54" s="121">
        <v>0</v>
      </c>
      <c r="E54" s="5">
        <v>1</v>
      </c>
      <c r="F54" s="5">
        <v>1</v>
      </c>
      <c r="G54" s="117">
        <v>0</v>
      </c>
      <c r="H54" s="5">
        <f t="shared" si="0"/>
        <v>0</v>
      </c>
      <c r="I54" s="114" t="s">
        <v>5</v>
      </c>
      <c r="J54" s="114">
        <v>1</v>
      </c>
      <c r="K54" s="2" t="e">
        <v>#N/A</v>
      </c>
      <c r="L54" s="2" t="e">
        <v>#N/A</v>
      </c>
    </row>
    <row r="55" spans="1:12" ht="16.5" customHeight="1" x14ac:dyDescent="0.35">
      <c r="A55" s="14">
        <v>54</v>
      </c>
      <c r="B55" s="134" t="s">
        <v>102</v>
      </c>
      <c r="C55" s="121">
        <v>67</v>
      </c>
      <c r="D55" s="121">
        <v>1</v>
      </c>
      <c r="E55" s="5">
        <v>1</v>
      </c>
      <c r="F55" s="5">
        <v>1</v>
      </c>
      <c r="G55" s="117">
        <v>0</v>
      </c>
      <c r="H55" s="5">
        <f t="shared" si="0"/>
        <v>1</v>
      </c>
      <c r="I55" s="114" t="s">
        <v>5</v>
      </c>
      <c r="J55" s="114">
        <v>1</v>
      </c>
      <c r="K55" s="2" t="e">
        <v>#N/A</v>
      </c>
      <c r="L55" s="2" t="e">
        <v>#N/A</v>
      </c>
    </row>
    <row r="56" spans="1:12" ht="16.5" customHeight="1" x14ac:dyDescent="0.35">
      <c r="A56" s="14">
        <v>55</v>
      </c>
      <c r="B56" s="134" t="s">
        <v>103</v>
      </c>
      <c r="C56" s="121">
        <v>60</v>
      </c>
      <c r="D56" s="121">
        <v>0</v>
      </c>
      <c r="E56" s="5">
        <v>1</v>
      </c>
      <c r="F56" s="5">
        <v>1</v>
      </c>
      <c r="G56" s="117">
        <v>0</v>
      </c>
      <c r="H56" s="5">
        <f t="shared" si="0"/>
        <v>0</v>
      </c>
      <c r="I56" s="114" t="s">
        <v>5</v>
      </c>
      <c r="J56" s="114">
        <v>1</v>
      </c>
      <c r="K56" s="2" t="e">
        <v>#N/A</v>
      </c>
      <c r="L56" s="2" t="e">
        <v>#N/A</v>
      </c>
    </row>
    <row r="57" spans="1:12" ht="16.5" customHeight="1" x14ac:dyDescent="0.35">
      <c r="A57" s="14">
        <v>56</v>
      </c>
      <c r="B57" s="134" t="s">
        <v>104</v>
      </c>
      <c r="C57" s="121">
        <v>127</v>
      </c>
      <c r="D57" s="121">
        <v>1</v>
      </c>
      <c r="E57" s="5">
        <v>1</v>
      </c>
      <c r="F57" s="5">
        <v>1</v>
      </c>
      <c r="G57" s="117">
        <v>0</v>
      </c>
      <c r="H57" s="5">
        <f t="shared" si="0"/>
        <v>1</v>
      </c>
      <c r="I57" s="114" t="s">
        <v>5</v>
      </c>
      <c r="J57" s="114">
        <v>1</v>
      </c>
      <c r="K57" s="2" t="e">
        <v>#N/A</v>
      </c>
      <c r="L57" s="2" t="e">
        <v>#N/A</v>
      </c>
    </row>
    <row r="58" spans="1:12" ht="16.5" customHeight="1" x14ac:dyDescent="0.35">
      <c r="A58" s="14">
        <v>57</v>
      </c>
      <c r="B58" s="134" t="s">
        <v>105</v>
      </c>
      <c r="C58" s="121">
        <v>175</v>
      </c>
      <c r="D58" s="121">
        <v>1</v>
      </c>
      <c r="E58" s="5">
        <v>1</v>
      </c>
      <c r="F58" s="5">
        <v>1</v>
      </c>
      <c r="G58" s="117">
        <v>0</v>
      </c>
      <c r="H58" s="5">
        <f t="shared" si="0"/>
        <v>1</v>
      </c>
      <c r="I58" s="114" t="s">
        <v>5</v>
      </c>
      <c r="J58" s="114">
        <v>1</v>
      </c>
      <c r="K58" s="2" t="e">
        <v>#N/A</v>
      </c>
      <c r="L58" s="2" t="e">
        <v>#N/A</v>
      </c>
    </row>
    <row r="59" spans="1:12" ht="16.5" customHeight="1" x14ac:dyDescent="0.35">
      <c r="A59" s="14">
        <v>58</v>
      </c>
      <c r="B59" s="134" t="s">
        <v>106</v>
      </c>
      <c r="C59" s="121">
        <v>64</v>
      </c>
      <c r="D59" s="121">
        <v>0</v>
      </c>
      <c r="E59" s="5">
        <v>1</v>
      </c>
      <c r="F59" s="5">
        <v>1</v>
      </c>
      <c r="G59" s="117">
        <v>0</v>
      </c>
      <c r="H59" s="5">
        <f t="shared" si="0"/>
        <v>0</v>
      </c>
      <c r="I59" s="114" t="s">
        <v>5</v>
      </c>
      <c r="J59" s="114">
        <v>1</v>
      </c>
      <c r="K59" s="2" t="e">
        <v>#N/A</v>
      </c>
      <c r="L59" s="2" t="e">
        <v>#N/A</v>
      </c>
    </row>
    <row r="60" spans="1:12" ht="16.5" customHeight="1" x14ac:dyDescent="0.35">
      <c r="A60" s="14">
        <v>59</v>
      </c>
      <c r="B60" s="134" t="s">
        <v>107</v>
      </c>
      <c r="C60" s="121">
        <v>56</v>
      </c>
      <c r="D60" s="121">
        <v>0</v>
      </c>
      <c r="E60" s="5">
        <v>1</v>
      </c>
      <c r="F60" s="5">
        <v>1</v>
      </c>
      <c r="G60" s="117">
        <v>0</v>
      </c>
      <c r="H60" s="5">
        <f t="shared" si="0"/>
        <v>0</v>
      </c>
      <c r="I60" s="114" t="s">
        <v>5</v>
      </c>
      <c r="J60" s="114">
        <v>1</v>
      </c>
      <c r="K60" s="2" t="e">
        <v>#N/A</v>
      </c>
      <c r="L60" s="2" t="e">
        <v>#N/A</v>
      </c>
    </row>
    <row r="61" spans="1:12" ht="16.5" customHeight="1" x14ac:dyDescent="0.35">
      <c r="A61" s="14">
        <v>60</v>
      </c>
      <c r="B61" s="134" t="s">
        <v>108</v>
      </c>
      <c r="C61" s="121">
        <v>29</v>
      </c>
      <c r="D61" s="121">
        <v>0</v>
      </c>
      <c r="E61" s="5">
        <v>1</v>
      </c>
      <c r="F61" s="5">
        <v>1</v>
      </c>
      <c r="G61" s="117">
        <v>1</v>
      </c>
      <c r="H61" s="5">
        <f t="shared" si="0"/>
        <v>1</v>
      </c>
      <c r="I61" s="114" t="s">
        <v>5</v>
      </c>
      <c r="J61" s="114">
        <v>1</v>
      </c>
      <c r="K61" s="2" t="e">
        <v>#N/A</v>
      </c>
      <c r="L61" s="2" t="e">
        <v>#N/A</v>
      </c>
    </row>
    <row r="62" spans="1:12" ht="16.5" customHeight="1" x14ac:dyDescent="0.35">
      <c r="A62" s="14">
        <v>61</v>
      </c>
      <c r="B62" s="134" t="s">
        <v>109</v>
      </c>
      <c r="C62" s="121">
        <v>27</v>
      </c>
      <c r="D62" s="121">
        <v>0</v>
      </c>
      <c r="E62" s="5">
        <v>1</v>
      </c>
      <c r="F62" s="5">
        <v>1</v>
      </c>
      <c r="G62" s="117">
        <v>1</v>
      </c>
      <c r="H62" s="5">
        <f t="shared" si="0"/>
        <v>1</v>
      </c>
      <c r="I62" s="114" t="s">
        <v>5</v>
      </c>
      <c r="J62" s="114">
        <v>1</v>
      </c>
      <c r="K62" s="2" t="e">
        <v>#N/A</v>
      </c>
      <c r="L62" s="2" t="e">
        <v>#N/A</v>
      </c>
    </row>
    <row r="63" spans="1:12" ht="16.5" customHeight="1" x14ac:dyDescent="0.35">
      <c r="A63" s="14">
        <v>62</v>
      </c>
      <c r="B63" s="134" t="s">
        <v>110</v>
      </c>
      <c r="C63" s="121">
        <v>28</v>
      </c>
      <c r="D63" s="121">
        <v>0</v>
      </c>
      <c r="E63" s="5">
        <v>1</v>
      </c>
      <c r="F63" s="5">
        <v>1</v>
      </c>
      <c r="G63" s="117">
        <v>1</v>
      </c>
      <c r="H63" s="5">
        <f t="shared" si="0"/>
        <v>1</v>
      </c>
      <c r="I63" s="114" t="s">
        <v>5</v>
      </c>
      <c r="J63" s="114">
        <v>1</v>
      </c>
      <c r="K63" s="2" t="e">
        <v>#N/A</v>
      </c>
      <c r="L63" s="2" t="e">
        <v>#N/A</v>
      </c>
    </row>
    <row r="64" spans="1:12" ht="16.5" customHeight="1" x14ac:dyDescent="0.35">
      <c r="A64" s="14">
        <v>63</v>
      </c>
      <c r="B64" s="134" t="s">
        <v>111</v>
      </c>
      <c r="C64" s="121">
        <v>29</v>
      </c>
      <c r="D64" s="121">
        <v>0</v>
      </c>
      <c r="E64" s="5">
        <v>1</v>
      </c>
      <c r="F64" s="5">
        <v>1</v>
      </c>
      <c r="G64" s="117">
        <v>1</v>
      </c>
      <c r="H64" s="5">
        <f t="shared" si="0"/>
        <v>1</v>
      </c>
      <c r="I64" s="114" t="s">
        <v>5</v>
      </c>
      <c r="J64" s="114">
        <v>1</v>
      </c>
      <c r="K64" s="2" t="e">
        <v>#N/A</v>
      </c>
      <c r="L64" s="2" t="e">
        <v>#N/A</v>
      </c>
    </row>
    <row r="65" spans="1:12" ht="16.5" customHeight="1" x14ac:dyDescent="0.35">
      <c r="A65" s="14">
        <v>64</v>
      </c>
      <c r="B65" s="134" t="s">
        <v>112</v>
      </c>
      <c r="C65" s="121">
        <v>118</v>
      </c>
      <c r="D65" s="121">
        <v>1</v>
      </c>
      <c r="E65" s="5">
        <v>1</v>
      </c>
      <c r="F65" s="5">
        <v>1</v>
      </c>
      <c r="G65" s="117">
        <v>0</v>
      </c>
      <c r="H65" s="5">
        <f t="shared" si="0"/>
        <v>1</v>
      </c>
      <c r="I65" s="114" t="s">
        <v>5</v>
      </c>
      <c r="J65" s="114">
        <v>1</v>
      </c>
      <c r="K65" s="2" t="e">
        <v>#N/A</v>
      </c>
      <c r="L65" s="2" t="e">
        <v>#N/A</v>
      </c>
    </row>
    <row r="66" spans="1:12" ht="16.5" customHeight="1" x14ac:dyDescent="0.35">
      <c r="A66" s="14">
        <v>65</v>
      </c>
      <c r="B66" s="134" t="s">
        <v>113</v>
      </c>
      <c r="C66" s="121">
        <v>65</v>
      </c>
      <c r="D66" s="121">
        <v>0</v>
      </c>
      <c r="E66" s="5">
        <v>1</v>
      </c>
      <c r="F66" s="5">
        <v>1</v>
      </c>
      <c r="G66" s="117">
        <v>0</v>
      </c>
      <c r="H66" s="5">
        <f t="shared" si="0"/>
        <v>0</v>
      </c>
      <c r="I66" s="114" t="s">
        <v>5</v>
      </c>
      <c r="J66" s="114">
        <v>1</v>
      </c>
      <c r="K66" s="2" t="e">
        <v>#N/A</v>
      </c>
      <c r="L66" s="2" t="e">
        <v>#N/A</v>
      </c>
    </row>
    <row r="67" spans="1:12" ht="16.5" customHeight="1" x14ac:dyDescent="0.35">
      <c r="A67" s="14">
        <v>66</v>
      </c>
      <c r="B67" s="134" t="s">
        <v>114</v>
      </c>
      <c r="C67" s="121">
        <v>60</v>
      </c>
      <c r="D67" s="121">
        <v>0</v>
      </c>
      <c r="E67" s="5">
        <v>1</v>
      </c>
      <c r="F67" s="5">
        <v>1</v>
      </c>
      <c r="G67" s="117">
        <v>0</v>
      </c>
      <c r="H67" s="5">
        <f t="shared" ref="H67:H130" si="1">IF(G67=0,IF(C67&lt;67,0,1),IF(C67&lt;26,0,1))</f>
        <v>0</v>
      </c>
      <c r="I67" s="114" t="s">
        <v>5</v>
      </c>
      <c r="J67" s="114">
        <v>1</v>
      </c>
      <c r="K67" s="2" t="e">
        <v>#N/A</v>
      </c>
      <c r="L67" s="2" t="e">
        <v>#N/A</v>
      </c>
    </row>
    <row r="68" spans="1:12" ht="16.5" customHeight="1" x14ac:dyDescent="0.35">
      <c r="A68" s="14">
        <v>67</v>
      </c>
      <c r="B68" s="135" t="s">
        <v>115</v>
      </c>
      <c r="C68" s="122">
        <v>94</v>
      </c>
      <c r="D68" s="122">
        <v>1</v>
      </c>
      <c r="E68" s="5">
        <v>1</v>
      </c>
      <c r="F68" s="5">
        <v>1</v>
      </c>
      <c r="G68" s="117">
        <v>0</v>
      </c>
      <c r="H68" s="5">
        <f t="shared" si="1"/>
        <v>1</v>
      </c>
      <c r="I68" s="114" t="s">
        <v>5</v>
      </c>
      <c r="J68" s="114">
        <v>2</v>
      </c>
      <c r="K68" s="2" t="e">
        <v>#N/A</v>
      </c>
      <c r="L68" s="2" t="e">
        <v>#N/A</v>
      </c>
    </row>
    <row r="69" spans="1:12" ht="16.5" customHeight="1" x14ac:dyDescent="0.35">
      <c r="A69" s="14">
        <v>68</v>
      </c>
      <c r="B69" s="135" t="s">
        <v>116</v>
      </c>
      <c r="C69" s="122">
        <v>57</v>
      </c>
      <c r="D69" s="122">
        <v>0</v>
      </c>
      <c r="E69" s="5">
        <v>1</v>
      </c>
      <c r="F69" s="5">
        <v>1</v>
      </c>
      <c r="G69" s="117">
        <v>0</v>
      </c>
      <c r="H69" s="5">
        <f t="shared" si="1"/>
        <v>0</v>
      </c>
      <c r="I69" s="114" t="s">
        <v>5</v>
      </c>
      <c r="J69" s="114">
        <v>2</v>
      </c>
      <c r="K69" s="2" t="e">
        <v>#N/A</v>
      </c>
      <c r="L69" s="2" t="e">
        <v>#N/A</v>
      </c>
    </row>
    <row r="70" spans="1:12" ht="16.5" customHeight="1" x14ac:dyDescent="0.35">
      <c r="A70" s="14">
        <v>69</v>
      </c>
      <c r="B70" s="135" t="s">
        <v>117</v>
      </c>
      <c r="C70" s="122">
        <v>37</v>
      </c>
      <c r="D70" s="122">
        <v>0</v>
      </c>
      <c r="E70" s="5">
        <v>1</v>
      </c>
      <c r="F70" s="5">
        <v>1</v>
      </c>
      <c r="G70" s="117">
        <v>0</v>
      </c>
      <c r="H70" s="5">
        <f t="shared" si="1"/>
        <v>0</v>
      </c>
      <c r="I70" s="114" t="s">
        <v>5</v>
      </c>
      <c r="J70" s="114">
        <v>2</v>
      </c>
      <c r="K70" s="2" t="e">
        <v>#N/A</v>
      </c>
      <c r="L70" s="2" t="e">
        <v>#N/A</v>
      </c>
    </row>
    <row r="71" spans="1:12" ht="16.5" customHeight="1" x14ac:dyDescent="0.35">
      <c r="A71" s="14">
        <v>70</v>
      </c>
      <c r="B71" s="135" t="s">
        <v>118</v>
      </c>
      <c r="C71" s="122">
        <v>98</v>
      </c>
      <c r="D71" s="122">
        <v>1</v>
      </c>
      <c r="E71" s="5">
        <v>1</v>
      </c>
      <c r="F71" s="5">
        <v>1</v>
      </c>
      <c r="G71" s="117">
        <v>0</v>
      </c>
      <c r="H71" s="5">
        <f t="shared" si="1"/>
        <v>1</v>
      </c>
      <c r="I71" s="114" t="s">
        <v>5</v>
      </c>
      <c r="J71" s="114">
        <v>2</v>
      </c>
      <c r="K71" s="2" t="e">
        <v>#N/A</v>
      </c>
      <c r="L71" s="2" t="e">
        <v>#N/A</v>
      </c>
    </row>
    <row r="72" spans="1:12" ht="16.5" customHeight="1" x14ac:dyDescent="0.35">
      <c r="A72" s="14">
        <v>71</v>
      </c>
      <c r="B72" s="135" t="s">
        <v>119</v>
      </c>
      <c r="C72" s="122">
        <v>92</v>
      </c>
      <c r="D72" s="122">
        <v>1</v>
      </c>
      <c r="E72" s="5">
        <v>1</v>
      </c>
      <c r="F72" s="5">
        <v>1</v>
      </c>
      <c r="G72" s="117">
        <v>0</v>
      </c>
      <c r="H72" s="5">
        <f t="shared" si="1"/>
        <v>1</v>
      </c>
      <c r="I72" s="114" t="s">
        <v>5</v>
      </c>
      <c r="J72" s="114">
        <v>2</v>
      </c>
      <c r="K72" s="2" t="e">
        <v>#N/A</v>
      </c>
      <c r="L72" s="2" t="e">
        <v>#N/A</v>
      </c>
    </row>
    <row r="73" spans="1:12" ht="16.5" customHeight="1" x14ac:dyDescent="0.35">
      <c r="A73" s="14">
        <v>72</v>
      </c>
      <c r="B73" s="135" t="s">
        <v>120</v>
      </c>
      <c r="C73" s="122">
        <v>68</v>
      </c>
      <c r="D73" s="122">
        <v>1</v>
      </c>
      <c r="E73" s="5">
        <v>1</v>
      </c>
      <c r="F73" s="5">
        <v>1</v>
      </c>
      <c r="G73" s="117">
        <v>0</v>
      </c>
      <c r="H73" s="5">
        <f t="shared" si="1"/>
        <v>1</v>
      </c>
      <c r="I73" s="114" t="s">
        <v>5</v>
      </c>
      <c r="J73" s="114">
        <v>2</v>
      </c>
      <c r="K73" s="2" t="e">
        <v>#N/A</v>
      </c>
      <c r="L73" s="2" t="e">
        <v>#N/A</v>
      </c>
    </row>
    <row r="74" spans="1:12" ht="16.5" customHeight="1" x14ac:dyDescent="0.35">
      <c r="A74" s="14">
        <v>73</v>
      </c>
      <c r="B74" s="135" t="s">
        <v>121</v>
      </c>
      <c r="C74" s="122">
        <v>93</v>
      </c>
      <c r="D74" s="122">
        <v>1</v>
      </c>
      <c r="E74" s="5">
        <v>1</v>
      </c>
      <c r="F74" s="5">
        <v>1</v>
      </c>
      <c r="G74" s="117">
        <v>0</v>
      </c>
      <c r="H74" s="5">
        <f t="shared" si="1"/>
        <v>1</v>
      </c>
      <c r="I74" s="114" t="s">
        <v>5</v>
      </c>
      <c r="J74" s="114">
        <v>2</v>
      </c>
      <c r="K74" s="2" t="e">
        <v>#N/A</v>
      </c>
      <c r="L74" s="2" t="e">
        <v>#N/A</v>
      </c>
    </row>
    <row r="75" spans="1:12" ht="16.5" customHeight="1" x14ac:dyDescent="0.35">
      <c r="A75" s="14">
        <v>74</v>
      </c>
      <c r="B75" s="135" t="s">
        <v>122</v>
      </c>
      <c r="C75" s="122">
        <v>61</v>
      </c>
      <c r="D75" s="122">
        <v>0</v>
      </c>
      <c r="E75" s="5">
        <v>1</v>
      </c>
      <c r="F75" s="5">
        <v>1</v>
      </c>
      <c r="G75" s="117">
        <v>0</v>
      </c>
      <c r="H75" s="5">
        <f t="shared" si="1"/>
        <v>0</v>
      </c>
      <c r="I75" s="114" t="s">
        <v>5</v>
      </c>
      <c r="J75" s="114">
        <v>2</v>
      </c>
      <c r="K75" s="2" t="e">
        <v>#N/A</v>
      </c>
      <c r="L75" s="2" t="e">
        <v>#N/A</v>
      </c>
    </row>
    <row r="76" spans="1:12" ht="16.5" customHeight="1" x14ac:dyDescent="0.35">
      <c r="A76" s="14">
        <v>75</v>
      </c>
      <c r="B76" s="135" t="s">
        <v>123</v>
      </c>
      <c r="C76" s="122">
        <v>66</v>
      </c>
      <c r="D76" s="122">
        <v>0</v>
      </c>
      <c r="E76" s="5">
        <v>1</v>
      </c>
      <c r="F76" s="5">
        <v>1</v>
      </c>
      <c r="G76" s="117">
        <v>0</v>
      </c>
      <c r="H76" s="5">
        <f t="shared" si="1"/>
        <v>0</v>
      </c>
      <c r="I76" s="114" t="s">
        <v>5</v>
      </c>
      <c r="J76" s="114">
        <v>2</v>
      </c>
      <c r="K76" s="2" t="e">
        <v>#N/A</v>
      </c>
      <c r="L76" s="2" t="e">
        <v>#N/A</v>
      </c>
    </row>
    <row r="77" spans="1:12" ht="16.5" customHeight="1" x14ac:dyDescent="0.35">
      <c r="A77" s="14">
        <v>76</v>
      </c>
      <c r="B77" s="135" t="s">
        <v>124</v>
      </c>
      <c r="C77" s="122">
        <v>65</v>
      </c>
      <c r="D77" s="122">
        <v>0</v>
      </c>
      <c r="E77" s="5">
        <v>1</v>
      </c>
      <c r="F77" s="5">
        <v>1</v>
      </c>
      <c r="G77" s="117">
        <v>0</v>
      </c>
      <c r="H77" s="5">
        <f t="shared" si="1"/>
        <v>0</v>
      </c>
      <c r="I77" s="114" t="s">
        <v>5</v>
      </c>
      <c r="J77" s="114">
        <v>2</v>
      </c>
      <c r="K77" s="2" t="e">
        <v>#N/A</v>
      </c>
      <c r="L77" s="2" t="e">
        <v>#N/A</v>
      </c>
    </row>
    <row r="78" spans="1:12" ht="16.5" customHeight="1" x14ac:dyDescent="0.35">
      <c r="A78" s="14">
        <v>77</v>
      </c>
      <c r="B78" s="135" t="s">
        <v>125</v>
      </c>
      <c r="C78" s="122">
        <v>26</v>
      </c>
      <c r="D78" s="122">
        <v>0</v>
      </c>
      <c r="E78" s="5">
        <v>1</v>
      </c>
      <c r="F78" s="5">
        <v>1</v>
      </c>
      <c r="G78" s="117">
        <v>0</v>
      </c>
      <c r="H78" s="5">
        <f t="shared" si="1"/>
        <v>0</v>
      </c>
      <c r="I78" s="114" t="s">
        <v>5</v>
      </c>
      <c r="J78" s="114">
        <v>2</v>
      </c>
      <c r="K78" s="2" t="e">
        <v>#N/A</v>
      </c>
      <c r="L78" s="2" t="e">
        <v>#N/A</v>
      </c>
    </row>
    <row r="79" spans="1:12" ht="16.5" customHeight="1" x14ac:dyDescent="0.35">
      <c r="A79" s="14">
        <v>78</v>
      </c>
      <c r="B79" s="135" t="s">
        <v>126</v>
      </c>
      <c r="C79" s="122">
        <v>27</v>
      </c>
      <c r="D79" s="122">
        <v>0</v>
      </c>
      <c r="E79" s="5">
        <v>1</v>
      </c>
      <c r="F79" s="5">
        <v>1</v>
      </c>
      <c r="G79" s="117">
        <v>0</v>
      </c>
      <c r="H79" s="5">
        <f t="shared" si="1"/>
        <v>0</v>
      </c>
      <c r="I79" s="114" t="s">
        <v>5</v>
      </c>
      <c r="J79" s="114">
        <v>2</v>
      </c>
      <c r="K79" s="2" t="e">
        <v>#N/A</v>
      </c>
      <c r="L79" s="2" t="e">
        <v>#N/A</v>
      </c>
    </row>
    <row r="80" spans="1:12" ht="16.5" customHeight="1" x14ac:dyDescent="0.35">
      <c r="A80" s="14">
        <v>79</v>
      </c>
      <c r="B80" s="135" t="s">
        <v>127</v>
      </c>
      <c r="C80" s="122">
        <v>28</v>
      </c>
      <c r="D80" s="122">
        <v>0</v>
      </c>
      <c r="E80" s="5">
        <v>1</v>
      </c>
      <c r="F80" s="5">
        <v>1</v>
      </c>
      <c r="G80" s="117">
        <v>0</v>
      </c>
      <c r="H80" s="5">
        <f t="shared" si="1"/>
        <v>0</v>
      </c>
      <c r="I80" s="114" t="s">
        <v>5</v>
      </c>
      <c r="J80" s="114">
        <v>2</v>
      </c>
      <c r="K80" s="2" t="e">
        <v>#N/A</v>
      </c>
      <c r="L80" s="2" t="e">
        <v>#N/A</v>
      </c>
    </row>
    <row r="81" spans="1:12" ht="16.5" customHeight="1" x14ac:dyDescent="0.35">
      <c r="A81" s="14">
        <v>80</v>
      </c>
      <c r="B81" s="135" t="s">
        <v>128</v>
      </c>
      <c r="C81" s="122">
        <v>26</v>
      </c>
      <c r="D81" s="122">
        <v>0</v>
      </c>
      <c r="E81" s="5">
        <v>1</v>
      </c>
      <c r="F81" s="5">
        <v>1</v>
      </c>
      <c r="G81" s="117">
        <v>0</v>
      </c>
      <c r="H81" s="5">
        <f t="shared" si="1"/>
        <v>0</v>
      </c>
      <c r="I81" s="114" t="s">
        <v>5</v>
      </c>
      <c r="J81" s="114">
        <v>2</v>
      </c>
      <c r="K81" s="2" t="e">
        <v>#N/A</v>
      </c>
      <c r="L81" s="2" t="e">
        <v>#N/A</v>
      </c>
    </row>
    <row r="82" spans="1:12" ht="16.5" customHeight="1" x14ac:dyDescent="0.35">
      <c r="A82" s="14">
        <v>81</v>
      </c>
      <c r="B82" s="135" t="s">
        <v>129</v>
      </c>
      <c r="C82" s="122">
        <v>26</v>
      </c>
      <c r="D82" s="122">
        <v>0</v>
      </c>
      <c r="E82" s="5">
        <v>1</v>
      </c>
      <c r="F82" s="5">
        <v>1</v>
      </c>
      <c r="G82" s="117">
        <v>0</v>
      </c>
      <c r="H82" s="5">
        <f t="shared" si="1"/>
        <v>0</v>
      </c>
      <c r="I82" s="114" t="s">
        <v>5</v>
      </c>
      <c r="J82" s="114">
        <v>2</v>
      </c>
      <c r="K82" s="2" t="e">
        <v>#N/A</v>
      </c>
      <c r="L82" s="2" t="e">
        <v>#N/A</v>
      </c>
    </row>
    <row r="83" spans="1:12" ht="16.5" customHeight="1" x14ac:dyDescent="0.35">
      <c r="A83" s="14">
        <v>82</v>
      </c>
      <c r="B83" s="136" t="s">
        <v>130</v>
      </c>
      <c r="C83" s="123">
        <v>89</v>
      </c>
      <c r="D83" s="123">
        <v>1</v>
      </c>
      <c r="E83" s="5">
        <v>1</v>
      </c>
      <c r="F83" s="5">
        <v>1</v>
      </c>
      <c r="G83" s="117">
        <v>0</v>
      </c>
      <c r="H83" s="5">
        <f t="shared" si="1"/>
        <v>1</v>
      </c>
      <c r="I83" s="114" t="s">
        <v>7</v>
      </c>
      <c r="J83" s="114">
        <v>1</v>
      </c>
      <c r="K83" s="2" t="e">
        <v>#N/A</v>
      </c>
      <c r="L83" s="2" t="e">
        <v>#N/A</v>
      </c>
    </row>
    <row r="84" spans="1:12" ht="16.5" customHeight="1" x14ac:dyDescent="0.35">
      <c r="A84" s="14">
        <v>83</v>
      </c>
      <c r="B84" s="136" t="s">
        <v>131</v>
      </c>
      <c r="C84" s="123">
        <v>67</v>
      </c>
      <c r="D84" s="123">
        <v>1</v>
      </c>
      <c r="E84" s="5">
        <v>1</v>
      </c>
      <c r="F84" s="5">
        <v>1</v>
      </c>
      <c r="G84" s="117">
        <v>0</v>
      </c>
      <c r="H84" s="5">
        <f t="shared" si="1"/>
        <v>1</v>
      </c>
      <c r="I84" s="114" t="s">
        <v>7</v>
      </c>
      <c r="J84" s="114">
        <v>1</v>
      </c>
      <c r="K84" s="2">
        <v>6</v>
      </c>
      <c r="L84" s="2">
        <v>6</v>
      </c>
    </row>
    <row r="85" spans="1:12" ht="16.5" customHeight="1" x14ac:dyDescent="0.35">
      <c r="A85" s="14">
        <v>84</v>
      </c>
      <c r="B85" s="137" t="s">
        <v>132</v>
      </c>
      <c r="C85" s="123">
        <v>67</v>
      </c>
      <c r="D85" s="123">
        <v>1</v>
      </c>
      <c r="E85" s="5">
        <v>1</v>
      </c>
      <c r="F85" s="5">
        <v>1</v>
      </c>
      <c r="G85" s="117">
        <v>0</v>
      </c>
      <c r="H85" s="5">
        <f t="shared" si="1"/>
        <v>1</v>
      </c>
      <c r="I85" s="114" t="s">
        <v>7</v>
      </c>
      <c r="J85" s="114">
        <v>1</v>
      </c>
      <c r="K85" s="2">
        <v>5</v>
      </c>
      <c r="L85" s="2">
        <v>6</v>
      </c>
    </row>
    <row r="86" spans="1:12" ht="16.5" customHeight="1" x14ac:dyDescent="0.35">
      <c r="A86" s="14">
        <v>85</v>
      </c>
      <c r="B86" s="137" t="s">
        <v>133</v>
      </c>
      <c r="C86" s="123">
        <v>77</v>
      </c>
      <c r="D86" s="123">
        <v>1</v>
      </c>
      <c r="E86" s="5">
        <v>1</v>
      </c>
      <c r="F86" s="5">
        <v>1</v>
      </c>
      <c r="G86" s="117">
        <v>0</v>
      </c>
      <c r="H86" s="5">
        <f t="shared" si="1"/>
        <v>1</v>
      </c>
      <c r="I86" s="114" t="s">
        <v>7</v>
      </c>
      <c r="J86" s="114">
        <v>1</v>
      </c>
      <c r="K86" s="2" t="e">
        <v>#N/A</v>
      </c>
      <c r="L86" s="2" t="e">
        <v>#N/A</v>
      </c>
    </row>
    <row r="87" spans="1:12" ht="16.5" customHeight="1" x14ac:dyDescent="0.35">
      <c r="A87" s="14">
        <v>86</v>
      </c>
      <c r="B87" s="136" t="s">
        <v>134</v>
      </c>
      <c r="C87" s="123">
        <v>113</v>
      </c>
      <c r="D87" s="123">
        <v>1</v>
      </c>
      <c r="E87" s="5">
        <v>1</v>
      </c>
      <c r="F87" s="5">
        <v>1</v>
      </c>
      <c r="G87" s="117">
        <v>0</v>
      </c>
      <c r="H87" s="5">
        <f t="shared" si="1"/>
        <v>1</v>
      </c>
      <c r="I87" s="114" t="s">
        <v>7</v>
      </c>
      <c r="J87" s="114">
        <v>1</v>
      </c>
      <c r="K87" s="2" t="e">
        <v>#N/A</v>
      </c>
      <c r="L87" s="2" t="e">
        <v>#N/A</v>
      </c>
    </row>
    <row r="88" spans="1:12" ht="16.5" customHeight="1" x14ac:dyDescent="0.35">
      <c r="A88" s="14">
        <v>87</v>
      </c>
      <c r="B88" s="137" t="s">
        <v>135</v>
      </c>
      <c r="C88" s="123">
        <v>35</v>
      </c>
      <c r="D88" s="123">
        <v>0</v>
      </c>
      <c r="E88" s="5">
        <v>1</v>
      </c>
      <c r="F88" s="5">
        <v>1</v>
      </c>
      <c r="G88" s="117">
        <v>0</v>
      </c>
      <c r="H88" s="5">
        <f t="shared" si="1"/>
        <v>0</v>
      </c>
      <c r="I88" s="114" t="s">
        <v>7</v>
      </c>
      <c r="J88" s="114">
        <v>1</v>
      </c>
      <c r="K88" s="2" t="e">
        <v>#N/A</v>
      </c>
      <c r="L88" s="2" t="e">
        <v>#N/A</v>
      </c>
    </row>
    <row r="89" spans="1:12" ht="16.5" customHeight="1" x14ac:dyDescent="0.35">
      <c r="A89" s="14">
        <v>88</v>
      </c>
      <c r="B89" s="136" t="s">
        <v>136</v>
      </c>
      <c r="C89" s="123">
        <v>49</v>
      </c>
      <c r="D89" s="123">
        <v>0</v>
      </c>
      <c r="E89" s="5">
        <v>1</v>
      </c>
      <c r="F89" s="5">
        <v>1</v>
      </c>
      <c r="G89" s="117">
        <v>0</v>
      </c>
      <c r="H89" s="5">
        <f t="shared" si="1"/>
        <v>0</v>
      </c>
      <c r="I89" s="114" t="s">
        <v>7</v>
      </c>
      <c r="J89" s="114">
        <v>1</v>
      </c>
      <c r="K89" s="2" t="e">
        <v>#N/A</v>
      </c>
      <c r="L89" s="2" t="e">
        <v>#N/A</v>
      </c>
    </row>
    <row r="90" spans="1:12" ht="16.5" customHeight="1" x14ac:dyDescent="0.35">
      <c r="A90" s="14">
        <v>89</v>
      </c>
      <c r="B90" s="137" t="s">
        <v>137</v>
      </c>
      <c r="C90" s="123">
        <v>75</v>
      </c>
      <c r="D90" s="123">
        <v>1</v>
      </c>
      <c r="E90" s="5">
        <v>1</v>
      </c>
      <c r="F90" s="5">
        <v>1</v>
      </c>
      <c r="G90" s="117">
        <v>0</v>
      </c>
      <c r="H90" s="5">
        <f t="shared" si="1"/>
        <v>1</v>
      </c>
      <c r="I90" s="114" t="s">
        <v>7</v>
      </c>
      <c r="J90" s="114">
        <v>1</v>
      </c>
      <c r="K90" s="2">
        <v>4</v>
      </c>
      <c r="L90" s="2">
        <v>6</v>
      </c>
    </row>
    <row r="91" spans="1:12" ht="16.5" customHeight="1" x14ac:dyDescent="0.35">
      <c r="A91" s="14">
        <v>90</v>
      </c>
      <c r="B91" s="136" t="s">
        <v>138</v>
      </c>
      <c r="C91" s="123">
        <v>98</v>
      </c>
      <c r="D91" s="123">
        <v>1</v>
      </c>
      <c r="E91" s="5">
        <v>1</v>
      </c>
      <c r="F91" s="5">
        <v>1</v>
      </c>
      <c r="G91" s="117">
        <v>0</v>
      </c>
      <c r="H91" s="5">
        <f t="shared" si="1"/>
        <v>1</v>
      </c>
      <c r="I91" s="114" t="s">
        <v>7</v>
      </c>
      <c r="J91" s="114">
        <v>1</v>
      </c>
      <c r="K91" s="2" t="e">
        <v>#N/A</v>
      </c>
      <c r="L91" s="2" t="e">
        <v>#N/A</v>
      </c>
    </row>
    <row r="92" spans="1:12" ht="16.5" customHeight="1" x14ac:dyDescent="0.35">
      <c r="A92" s="14">
        <v>91</v>
      </c>
      <c r="B92" s="137" t="s">
        <v>139</v>
      </c>
      <c r="C92" s="123">
        <v>109</v>
      </c>
      <c r="D92" s="123">
        <v>1</v>
      </c>
      <c r="E92" s="5">
        <v>1</v>
      </c>
      <c r="F92" s="5">
        <v>1</v>
      </c>
      <c r="G92" s="117">
        <v>0</v>
      </c>
      <c r="H92" s="5">
        <f t="shared" si="1"/>
        <v>1</v>
      </c>
      <c r="I92" s="114" t="s">
        <v>7</v>
      </c>
      <c r="J92" s="114">
        <v>1</v>
      </c>
      <c r="K92" s="2" t="e">
        <v>#N/A</v>
      </c>
      <c r="L92" s="2" t="e">
        <v>#N/A</v>
      </c>
    </row>
    <row r="93" spans="1:12" ht="16.5" customHeight="1" x14ac:dyDescent="0.35">
      <c r="A93" s="14">
        <v>92</v>
      </c>
      <c r="B93" s="136" t="s">
        <v>140</v>
      </c>
      <c r="C93" s="123">
        <v>29</v>
      </c>
      <c r="D93" s="123">
        <v>0</v>
      </c>
      <c r="E93" s="5">
        <v>1</v>
      </c>
      <c r="F93" s="5">
        <v>1</v>
      </c>
      <c r="G93" s="117">
        <v>0</v>
      </c>
      <c r="H93" s="5">
        <f t="shared" si="1"/>
        <v>0</v>
      </c>
      <c r="I93" s="114" t="s">
        <v>7</v>
      </c>
      <c r="J93" s="114">
        <v>2</v>
      </c>
      <c r="K93" s="2" t="e">
        <v>#N/A</v>
      </c>
      <c r="L93" s="2" t="e">
        <v>#N/A</v>
      </c>
    </row>
    <row r="94" spans="1:12" ht="16.5" customHeight="1" x14ac:dyDescent="0.35">
      <c r="A94" s="14">
        <v>93</v>
      </c>
      <c r="B94" s="137" t="s">
        <v>141</v>
      </c>
      <c r="C94" s="123">
        <v>39</v>
      </c>
      <c r="D94" s="123">
        <v>0</v>
      </c>
      <c r="E94" s="5">
        <v>1</v>
      </c>
      <c r="F94" s="5">
        <v>1</v>
      </c>
      <c r="G94" s="117">
        <v>0</v>
      </c>
      <c r="H94" s="5">
        <f t="shared" si="1"/>
        <v>0</v>
      </c>
      <c r="I94" s="114" t="s">
        <v>7</v>
      </c>
      <c r="J94" s="114">
        <v>2</v>
      </c>
      <c r="K94" s="2" t="e">
        <v>#N/A</v>
      </c>
      <c r="L94" s="2" t="e">
        <v>#N/A</v>
      </c>
    </row>
    <row r="95" spans="1:12" ht="16.5" customHeight="1" x14ac:dyDescent="0.35">
      <c r="A95" s="14">
        <v>94</v>
      </c>
      <c r="B95" s="136" t="s">
        <v>142</v>
      </c>
      <c r="C95" s="123">
        <v>30</v>
      </c>
      <c r="D95" s="123">
        <v>0</v>
      </c>
      <c r="E95" s="5">
        <v>1</v>
      </c>
      <c r="F95" s="5">
        <v>1</v>
      </c>
      <c r="G95" s="117">
        <v>0</v>
      </c>
      <c r="H95" s="5">
        <f t="shared" si="1"/>
        <v>0</v>
      </c>
      <c r="I95" s="114" t="s">
        <v>7</v>
      </c>
      <c r="J95" s="114">
        <v>2</v>
      </c>
      <c r="K95" s="2" t="e">
        <v>#N/A</v>
      </c>
      <c r="L95" s="2" t="e">
        <v>#N/A</v>
      </c>
    </row>
    <row r="96" spans="1:12" ht="16.5" customHeight="1" x14ac:dyDescent="0.35">
      <c r="A96" s="14">
        <v>95</v>
      </c>
      <c r="B96" s="137" t="s">
        <v>143</v>
      </c>
      <c r="C96" s="123">
        <v>26</v>
      </c>
      <c r="D96" s="123">
        <v>0</v>
      </c>
      <c r="E96" s="5">
        <v>1</v>
      </c>
      <c r="F96" s="5">
        <v>1</v>
      </c>
      <c r="G96" s="117">
        <v>1</v>
      </c>
      <c r="H96" s="5">
        <f t="shared" si="1"/>
        <v>1</v>
      </c>
      <c r="I96" s="114" t="s">
        <v>7</v>
      </c>
      <c r="J96" s="114">
        <v>2</v>
      </c>
      <c r="K96" s="2" t="e">
        <v>#N/A</v>
      </c>
      <c r="L96" s="2" t="e">
        <v>#N/A</v>
      </c>
    </row>
    <row r="97" spans="1:12" ht="16.5" customHeight="1" x14ac:dyDescent="0.35">
      <c r="A97" s="14">
        <v>96</v>
      </c>
      <c r="B97" s="136" t="s">
        <v>144</v>
      </c>
      <c r="C97" s="123">
        <v>26</v>
      </c>
      <c r="D97" s="123">
        <v>0</v>
      </c>
      <c r="E97" s="5">
        <v>1</v>
      </c>
      <c r="F97" s="5">
        <v>1</v>
      </c>
      <c r="G97" s="117">
        <v>0</v>
      </c>
      <c r="H97" s="5">
        <f t="shared" si="1"/>
        <v>0</v>
      </c>
      <c r="I97" s="114" t="s">
        <v>7</v>
      </c>
      <c r="J97" s="114">
        <v>2</v>
      </c>
      <c r="K97" s="2" t="e">
        <v>#N/A</v>
      </c>
      <c r="L97" s="2" t="e">
        <v>#N/A</v>
      </c>
    </row>
    <row r="98" spans="1:12" ht="16.5" customHeight="1" x14ac:dyDescent="0.35">
      <c r="A98" s="14">
        <v>97</v>
      </c>
      <c r="B98" s="137" t="s">
        <v>145</v>
      </c>
      <c r="C98" s="123">
        <v>41</v>
      </c>
      <c r="D98" s="123">
        <v>0</v>
      </c>
      <c r="E98" s="5">
        <v>1</v>
      </c>
      <c r="F98" s="5">
        <v>1</v>
      </c>
      <c r="G98" s="117">
        <v>0</v>
      </c>
      <c r="H98" s="5">
        <f t="shared" si="1"/>
        <v>0</v>
      </c>
      <c r="I98" s="114" t="s">
        <v>7</v>
      </c>
      <c r="J98" s="114">
        <v>2</v>
      </c>
      <c r="K98" s="2" t="e">
        <v>#N/A</v>
      </c>
      <c r="L98" s="2" t="e">
        <v>#N/A</v>
      </c>
    </row>
    <row r="99" spans="1:12" ht="16.5" customHeight="1" x14ac:dyDescent="0.35">
      <c r="A99" s="14">
        <v>98</v>
      </c>
      <c r="B99" s="136" t="s">
        <v>146</v>
      </c>
      <c r="C99" s="123">
        <v>28</v>
      </c>
      <c r="D99" s="123">
        <v>0</v>
      </c>
      <c r="E99" s="5">
        <v>1</v>
      </c>
      <c r="F99" s="5">
        <v>1</v>
      </c>
      <c r="G99" s="117">
        <v>0</v>
      </c>
      <c r="H99" s="5">
        <f t="shared" si="1"/>
        <v>0</v>
      </c>
      <c r="I99" s="114" t="s">
        <v>7</v>
      </c>
      <c r="J99" s="114">
        <v>2</v>
      </c>
      <c r="K99" s="2" t="e">
        <v>#N/A</v>
      </c>
      <c r="L99" s="2" t="e">
        <v>#N/A</v>
      </c>
    </row>
    <row r="100" spans="1:12" ht="16.5" customHeight="1" x14ac:dyDescent="0.35">
      <c r="A100" s="14">
        <v>99</v>
      </c>
      <c r="B100" s="137" t="s">
        <v>147</v>
      </c>
      <c r="C100" s="123">
        <v>33</v>
      </c>
      <c r="D100" s="123">
        <v>0</v>
      </c>
      <c r="E100" s="5">
        <v>1</v>
      </c>
      <c r="F100" s="5">
        <v>1</v>
      </c>
      <c r="G100" s="117">
        <v>1</v>
      </c>
      <c r="H100" s="5">
        <f t="shared" si="1"/>
        <v>1</v>
      </c>
      <c r="I100" s="114" t="s">
        <v>7</v>
      </c>
      <c r="J100" s="114">
        <v>2</v>
      </c>
      <c r="K100" s="2" t="e">
        <v>#N/A</v>
      </c>
      <c r="L100" s="2" t="e">
        <v>#N/A</v>
      </c>
    </row>
    <row r="101" spans="1:12" ht="16.5" customHeight="1" x14ac:dyDescent="0.35">
      <c r="A101" s="14">
        <v>100</v>
      </c>
      <c r="B101" s="136" t="s">
        <v>148</v>
      </c>
      <c r="C101" s="123">
        <v>31</v>
      </c>
      <c r="D101" s="123">
        <v>0</v>
      </c>
      <c r="E101" s="5">
        <v>1</v>
      </c>
      <c r="F101" s="5">
        <v>1</v>
      </c>
      <c r="G101" s="117">
        <v>0</v>
      </c>
      <c r="H101" s="5">
        <f t="shared" si="1"/>
        <v>0</v>
      </c>
      <c r="I101" s="114" t="s">
        <v>7</v>
      </c>
      <c r="J101" s="114">
        <v>2</v>
      </c>
      <c r="K101" s="2" t="e">
        <v>#N/A</v>
      </c>
      <c r="L101" s="2" t="e">
        <v>#N/A</v>
      </c>
    </row>
    <row r="102" spans="1:12" ht="16.5" customHeight="1" x14ac:dyDescent="0.35">
      <c r="A102" s="14">
        <v>101</v>
      </c>
      <c r="B102" s="136" t="s">
        <v>149</v>
      </c>
      <c r="C102" s="123">
        <v>29</v>
      </c>
      <c r="D102" s="123">
        <v>0</v>
      </c>
      <c r="E102" s="5">
        <v>1</v>
      </c>
      <c r="F102" s="5">
        <v>1</v>
      </c>
      <c r="G102" s="117">
        <v>0</v>
      </c>
      <c r="H102" s="5">
        <f t="shared" si="1"/>
        <v>0</v>
      </c>
      <c r="I102" s="114" t="s">
        <v>7</v>
      </c>
      <c r="J102" s="114">
        <v>2</v>
      </c>
      <c r="K102" s="2" t="e">
        <v>#N/A</v>
      </c>
      <c r="L102" s="2" t="e">
        <v>#N/A</v>
      </c>
    </row>
    <row r="103" spans="1:12" ht="16.5" customHeight="1" x14ac:dyDescent="0.35">
      <c r="A103" s="14">
        <v>102</v>
      </c>
      <c r="B103" s="137" t="s">
        <v>150</v>
      </c>
      <c r="C103" s="123">
        <v>33</v>
      </c>
      <c r="D103" s="123">
        <v>0</v>
      </c>
      <c r="E103" s="5">
        <v>1</v>
      </c>
      <c r="F103" s="5">
        <v>1</v>
      </c>
      <c r="G103" s="117">
        <v>0</v>
      </c>
      <c r="H103" s="5">
        <f t="shared" si="1"/>
        <v>0</v>
      </c>
      <c r="I103" s="114" t="s">
        <v>7</v>
      </c>
      <c r="J103" s="114">
        <v>2</v>
      </c>
      <c r="K103" s="2" t="e">
        <v>#N/A</v>
      </c>
      <c r="L103" s="2" t="e">
        <v>#N/A</v>
      </c>
    </row>
    <row r="104" spans="1:12" ht="16.5" customHeight="1" x14ac:dyDescent="0.35">
      <c r="A104" s="14">
        <v>103</v>
      </c>
      <c r="B104" s="138" t="s">
        <v>151</v>
      </c>
      <c r="C104" s="116">
        <v>94</v>
      </c>
      <c r="D104" s="116">
        <v>1</v>
      </c>
      <c r="E104" s="5">
        <v>1</v>
      </c>
      <c r="F104" s="5">
        <v>1</v>
      </c>
      <c r="G104" s="117">
        <v>0</v>
      </c>
      <c r="H104" s="5">
        <f t="shared" si="1"/>
        <v>1</v>
      </c>
      <c r="I104" s="114" t="s">
        <v>9</v>
      </c>
      <c r="J104" s="114">
        <v>1</v>
      </c>
      <c r="K104" s="2">
        <v>6</v>
      </c>
      <c r="L104" s="2">
        <v>7</v>
      </c>
    </row>
    <row r="105" spans="1:12" ht="16.5" customHeight="1" x14ac:dyDescent="0.35">
      <c r="A105" s="14">
        <v>104</v>
      </c>
      <c r="B105" s="138" t="s">
        <v>152</v>
      </c>
      <c r="C105" s="116">
        <v>87</v>
      </c>
      <c r="D105" s="116">
        <v>1</v>
      </c>
      <c r="E105" s="5">
        <v>1</v>
      </c>
      <c r="F105" s="5">
        <v>1</v>
      </c>
      <c r="G105" s="117">
        <v>0</v>
      </c>
      <c r="H105" s="5">
        <f t="shared" si="1"/>
        <v>1</v>
      </c>
      <c r="I105" s="114" t="s">
        <v>9</v>
      </c>
      <c r="J105" s="114">
        <v>1</v>
      </c>
      <c r="K105" s="2">
        <v>5</v>
      </c>
      <c r="L105" s="2">
        <v>7</v>
      </c>
    </row>
    <row r="106" spans="1:12" ht="16.5" customHeight="1" x14ac:dyDescent="0.35">
      <c r="A106" s="14">
        <v>105</v>
      </c>
      <c r="B106" s="138" t="s">
        <v>153</v>
      </c>
      <c r="C106" s="116">
        <v>76</v>
      </c>
      <c r="D106" s="116">
        <v>1</v>
      </c>
      <c r="E106" s="5">
        <v>1</v>
      </c>
      <c r="F106" s="5">
        <v>1</v>
      </c>
      <c r="G106" s="117">
        <v>0</v>
      </c>
      <c r="H106" s="5">
        <f t="shared" si="1"/>
        <v>1</v>
      </c>
      <c r="I106" s="114" t="s">
        <v>9</v>
      </c>
      <c r="J106" s="114">
        <v>1</v>
      </c>
      <c r="K106" s="2">
        <v>4</v>
      </c>
      <c r="L106" s="2">
        <v>7</v>
      </c>
    </row>
    <row r="107" spans="1:12" ht="16.5" customHeight="1" x14ac:dyDescent="0.35">
      <c r="A107" s="14">
        <v>106</v>
      </c>
      <c r="B107" s="139" t="s">
        <v>154</v>
      </c>
      <c r="C107" s="116">
        <v>101</v>
      </c>
      <c r="D107" s="116">
        <v>1</v>
      </c>
      <c r="E107" s="5">
        <v>1</v>
      </c>
      <c r="F107" s="5">
        <v>1</v>
      </c>
      <c r="G107" s="117">
        <v>0</v>
      </c>
      <c r="H107" s="5">
        <f t="shared" si="1"/>
        <v>1</v>
      </c>
      <c r="I107" s="114" t="s">
        <v>9</v>
      </c>
      <c r="J107" s="114">
        <v>1</v>
      </c>
      <c r="K107" s="2" t="e">
        <v>#N/A</v>
      </c>
      <c r="L107" s="2" t="e">
        <v>#N/A</v>
      </c>
    </row>
    <row r="108" spans="1:12" ht="16.5" customHeight="1" x14ac:dyDescent="0.35">
      <c r="A108" s="14">
        <v>107</v>
      </c>
      <c r="B108" s="138" t="s">
        <v>155</v>
      </c>
      <c r="C108" s="116">
        <v>89</v>
      </c>
      <c r="D108" s="116">
        <v>1</v>
      </c>
      <c r="E108" s="5">
        <v>1</v>
      </c>
      <c r="F108" s="5">
        <v>1</v>
      </c>
      <c r="G108" s="117">
        <v>0</v>
      </c>
      <c r="H108" s="5">
        <f t="shared" si="1"/>
        <v>1</v>
      </c>
      <c r="I108" s="114" t="s">
        <v>9</v>
      </c>
      <c r="J108" s="114">
        <v>1</v>
      </c>
      <c r="K108" s="2" t="e">
        <v>#N/A</v>
      </c>
      <c r="L108" s="2" t="e">
        <v>#N/A</v>
      </c>
    </row>
    <row r="109" spans="1:12" ht="16.5" customHeight="1" x14ac:dyDescent="0.35">
      <c r="A109" s="14">
        <v>108</v>
      </c>
      <c r="B109" s="139" t="s">
        <v>156</v>
      </c>
      <c r="C109" s="116">
        <v>92</v>
      </c>
      <c r="D109" s="116">
        <v>1</v>
      </c>
      <c r="E109" s="5">
        <v>1</v>
      </c>
      <c r="F109" s="5">
        <v>1</v>
      </c>
      <c r="G109" s="117">
        <v>0</v>
      </c>
      <c r="H109" s="5">
        <f t="shared" si="1"/>
        <v>1</v>
      </c>
      <c r="I109" s="114" t="s">
        <v>9</v>
      </c>
      <c r="J109" s="114">
        <v>1</v>
      </c>
      <c r="K109" s="2" t="e">
        <v>#N/A</v>
      </c>
      <c r="L109" s="2" t="e">
        <v>#N/A</v>
      </c>
    </row>
    <row r="110" spans="1:12" ht="16.5" customHeight="1" x14ac:dyDescent="0.35">
      <c r="A110" s="14">
        <v>109</v>
      </c>
      <c r="B110" s="138" t="s">
        <v>157</v>
      </c>
      <c r="C110" s="116">
        <v>97</v>
      </c>
      <c r="D110" s="116">
        <v>1</v>
      </c>
      <c r="E110" s="5">
        <v>1</v>
      </c>
      <c r="F110" s="5">
        <v>1</v>
      </c>
      <c r="G110" s="117">
        <v>0</v>
      </c>
      <c r="H110" s="5">
        <f t="shared" si="1"/>
        <v>1</v>
      </c>
      <c r="I110" s="114" t="s">
        <v>9</v>
      </c>
      <c r="J110" s="114">
        <v>1</v>
      </c>
      <c r="K110" s="2" t="e">
        <v>#N/A</v>
      </c>
      <c r="L110" s="2" t="e">
        <v>#N/A</v>
      </c>
    </row>
    <row r="111" spans="1:12" ht="16.5" customHeight="1" x14ac:dyDescent="0.35">
      <c r="A111" s="14">
        <v>110</v>
      </c>
      <c r="B111" s="139" t="s">
        <v>158</v>
      </c>
      <c r="C111" s="116">
        <v>50</v>
      </c>
      <c r="D111" s="116">
        <v>0</v>
      </c>
      <c r="E111" s="5">
        <v>1</v>
      </c>
      <c r="F111" s="5">
        <v>1</v>
      </c>
      <c r="G111" s="117">
        <v>0</v>
      </c>
      <c r="H111" s="5">
        <f t="shared" si="1"/>
        <v>0</v>
      </c>
      <c r="I111" s="114" t="s">
        <v>9</v>
      </c>
      <c r="J111" s="114">
        <v>1</v>
      </c>
      <c r="K111" s="2" t="e">
        <v>#N/A</v>
      </c>
      <c r="L111" s="2" t="e">
        <v>#N/A</v>
      </c>
    </row>
    <row r="112" spans="1:12" ht="16.5" customHeight="1" x14ac:dyDescent="0.35">
      <c r="A112" s="14">
        <v>111</v>
      </c>
      <c r="B112" s="139" t="s">
        <v>159</v>
      </c>
      <c r="C112" s="116">
        <v>36</v>
      </c>
      <c r="D112" s="116">
        <v>0</v>
      </c>
      <c r="E112" s="5">
        <v>1</v>
      </c>
      <c r="F112" s="5">
        <v>1</v>
      </c>
      <c r="G112" s="117">
        <v>0</v>
      </c>
      <c r="H112" s="5">
        <f t="shared" si="1"/>
        <v>0</v>
      </c>
      <c r="I112" s="114" t="s">
        <v>9</v>
      </c>
      <c r="J112" s="114">
        <v>1</v>
      </c>
      <c r="K112" s="2" t="e">
        <v>#N/A</v>
      </c>
      <c r="L112" s="2" t="e">
        <v>#N/A</v>
      </c>
    </row>
    <row r="113" spans="1:12" ht="16.5" customHeight="1" x14ac:dyDescent="0.35">
      <c r="A113" s="14">
        <v>112</v>
      </c>
      <c r="B113" s="138" t="s">
        <v>160</v>
      </c>
      <c r="C113" s="116">
        <v>44</v>
      </c>
      <c r="D113" s="116">
        <v>0</v>
      </c>
      <c r="E113" s="5">
        <v>1</v>
      </c>
      <c r="F113" s="5">
        <v>1</v>
      </c>
      <c r="G113" s="117">
        <v>0</v>
      </c>
      <c r="H113" s="5">
        <f t="shared" si="1"/>
        <v>0</v>
      </c>
      <c r="I113" s="114" t="s">
        <v>9</v>
      </c>
      <c r="J113" s="114">
        <v>2</v>
      </c>
      <c r="K113" s="2" t="e">
        <v>#N/A</v>
      </c>
      <c r="L113" s="2" t="e">
        <v>#N/A</v>
      </c>
    </row>
    <row r="114" spans="1:12" ht="16.5" customHeight="1" x14ac:dyDescent="0.35">
      <c r="A114" s="14">
        <v>113</v>
      </c>
      <c r="B114" s="139" t="s">
        <v>161</v>
      </c>
      <c r="C114" s="116">
        <v>46</v>
      </c>
      <c r="D114" s="116">
        <v>0</v>
      </c>
      <c r="E114" s="5">
        <v>1</v>
      </c>
      <c r="F114" s="5">
        <v>1</v>
      </c>
      <c r="G114" s="117">
        <v>0</v>
      </c>
      <c r="H114" s="5">
        <f t="shared" si="1"/>
        <v>0</v>
      </c>
      <c r="I114" s="114" t="s">
        <v>9</v>
      </c>
      <c r="J114" s="114">
        <v>2</v>
      </c>
      <c r="K114" s="2" t="e">
        <v>#N/A</v>
      </c>
      <c r="L114" s="2" t="e">
        <v>#N/A</v>
      </c>
    </row>
    <row r="115" spans="1:12" ht="16.5" customHeight="1" x14ac:dyDescent="0.35">
      <c r="A115" s="14">
        <v>114</v>
      </c>
      <c r="B115" s="138" t="s">
        <v>162</v>
      </c>
      <c r="C115" s="116">
        <v>43</v>
      </c>
      <c r="D115" s="116">
        <v>0</v>
      </c>
      <c r="E115" s="5">
        <v>1</v>
      </c>
      <c r="F115" s="5">
        <v>1</v>
      </c>
      <c r="G115" s="117">
        <v>0</v>
      </c>
      <c r="H115" s="5">
        <f t="shared" si="1"/>
        <v>0</v>
      </c>
      <c r="I115" s="114" t="s">
        <v>9</v>
      </c>
      <c r="J115" s="114">
        <v>2</v>
      </c>
      <c r="K115" s="2" t="e">
        <v>#N/A</v>
      </c>
      <c r="L115" s="2" t="e">
        <v>#N/A</v>
      </c>
    </row>
    <row r="116" spans="1:12" ht="16.5" customHeight="1" x14ac:dyDescent="0.35">
      <c r="A116" s="14">
        <v>115</v>
      </c>
      <c r="B116" s="139" t="s">
        <v>163</v>
      </c>
      <c r="C116" s="116">
        <v>46</v>
      </c>
      <c r="D116" s="116">
        <v>0</v>
      </c>
      <c r="E116" s="5">
        <v>1</v>
      </c>
      <c r="F116" s="5">
        <v>1</v>
      </c>
      <c r="G116" s="117">
        <v>0</v>
      </c>
      <c r="H116" s="5">
        <f t="shared" si="1"/>
        <v>0</v>
      </c>
      <c r="I116" s="114" t="s">
        <v>9</v>
      </c>
      <c r="J116" s="114">
        <v>2</v>
      </c>
      <c r="K116" s="2" t="e">
        <v>#N/A</v>
      </c>
      <c r="L116" s="2" t="e">
        <v>#N/A</v>
      </c>
    </row>
    <row r="117" spans="1:12" ht="16.5" customHeight="1" x14ac:dyDescent="0.35">
      <c r="A117" s="14">
        <v>116</v>
      </c>
      <c r="B117" s="138" t="s">
        <v>164</v>
      </c>
      <c r="C117" s="116">
        <v>42</v>
      </c>
      <c r="D117" s="116">
        <v>0</v>
      </c>
      <c r="E117" s="5">
        <v>1</v>
      </c>
      <c r="F117" s="5">
        <v>1</v>
      </c>
      <c r="G117" s="117">
        <v>0</v>
      </c>
      <c r="H117" s="5">
        <f t="shared" si="1"/>
        <v>0</v>
      </c>
      <c r="I117" s="114" t="s">
        <v>9</v>
      </c>
      <c r="J117" s="114">
        <v>2</v>
      </c>
      <c r="K117" s="2" t="e">
        <v>#N/A</v>
      </c>
      <c r="L117" s="2" t="e">
        <v>#N/A</v>
      </c>
    </row>
    <row r="118" spans="1:12" ht="16.5" customHeight="1" x14ac:dyDescent="0.35">
      <c r="A118" s="14">
        <v>117</v>
      </c>
      <c r="B118" s="140" t="s">
        <v>247</v>
      </c>
      <c r="C118" s="116">
        <v>44</v>
      </c>
      <c r="D118" s="116">
        <v>0</v>
      </c>
      <c r="E118" s="5">
        <v>1</v>
      </c>
      <c r="F118" s="5">
        <v>1</v>
      </c>
      <c r="G118" s="117">
        <v>0</v>
      </c>
      <c r="H118" s="5">
        <f t="shared" si="1"/>
        <v>0</v>
      </c>
      <c r="I118" s="114" t="s">
        <v>9</v>
      </c>
      <c r="J118" s="114">
        <v>2</v>
      </c>
      <c r="K118" s="2" t="e">
        <v>#N/A</v>
      </c>
      <c r="L118" s="2" t="e">
        <v>#N/A</v>
      </c>
    </row>
    <row r="119" spans="1:12" ht="16.5" customHeight="1" x14ac:dyDescent="0.35">
      <c r="A119" s="14">
        <v>118</v>
      </c>
      <c r="B119" s="138" t="s">
        <v>165</v>
      </c>
      <c r="C119" s="116">
        <v>44</v>
      </c>
      <c r="D119" s="116">
        <v>0</v>
      </c>
      <c r="E119" s="5">
        <v>1</v>
      </c>
      <c r="F119" s="5">
        <v>1</v>
      </c>
      <c r="G119" s="117">
        <v>0</v>
      </c>
      <c r="H119" s="5">
        <f t="shared" si="1"/>
        <v>0</v>
      </c>
      <c r="I119" s="114" t="s">
        <v>9</v>
      </c>
      <c r="J119" s="114">
        <v>2</v>
      </c>
      <c r="K119" s="2" t="e">
        <v>#N/A</v>
      </c>
      <c r="L119" s="2" t="e">
        <v>#N/A</v>
      </c>
    </row>
    <row r="120" spans="1:12" ht="16.5" customHeight="1" x14ac:dyDescent="0.35">
      <c r="A120" s="14">
        <v>119</v>
      </c>
      <c r="B120" s="139" t="s">
        <v>166</v>
      </c>
      <c r="C120" s="116">
        <v>18</v>
      </c>
      <c r="D120" s="116">
        <v>0</v>
      </c>
      <c r="E120" s="5">
        <v>1</v>
      </c>
      <c r="F120" s="5">
        <v>1</v>
      </c>
      <c r="G120" s="117">
        <v>0</v>
      </c>
      <c r="H120" s="5">
        <f t="shared" si="1"/>
        <v>0</v>
      </c>
      <c r="I120" s="114" t="s">
        <v>9</v>
      </c>
      <c r="J120" s="114">
        <v>2</v>
      </c>
      <c r="K120" s="2" t="e">
        <v>#N/A</v>
      </c>
      <c r="L120" s="2" t="e">
        <v>#N/A</v>
      </c>
    </row>
    <row r="121" spans="1:12" ht="16.5" customHeight="1" x14ac:dyDescent="0.35">
      <c r="A121" s="14">
        <v>120</v>
      </c>
      <c r="B121" s="139" t="s">
        <v>167</v>
      </c>
      <c r="C121" s="116">
        <v>35</v>
      </c>
      <c r="D121" s="116">
        <v>0</v>
      </c>
      <c r="E121" s="5">
        <v>1</v>
      </c>
      <c r="F121" s="5">
        <v>1</v>
      </c>
      <c r="G121" s="117">
        <v>0</v>
      </c>
      <c r="H121" s="5">
        <f t="shared" si="1"/>
        <v>0</v>
      </c>
      <c r="I121" s="114" t="s">
        <v>9</v>
      </c>
      <c r="J121" s="114">
        <v>2</v>
      </c>
      <c r="K121" s="2" t="e">
        <v>#N/A</v>
      </c>
      <c r="L121" s="2" t="e">
        <v>#N/A</v>
      </c>
    </row>
    <row r="122" spans="1:12" ht="16.5" customHeight="1" x14ac:dyDescent="0.35">
      <c r="A122" s="14">
        <v>121</v>
      </c>
      <c r="B122" s="139" t="s">
        <v>168</v>
      </c>
      <c r="C122" s="116">
        <v>56</v>
      </c>
      <c r="D122" s="116">
        <v>0</v>
      </c>
      <c r="E122" s="5">
        <v>1</v>
      </c>
      <c r="F122" s="5">
        <v>1</v>
      </c>
      <c r="G122" s="117">
        <v>0</v>
      </c>
      <c r="H122" s="5">
        <f t="shared" si="1"/>
        <v>0</v>
      </c>
      <c r="I122" s="114" t="s">
        <v>9</v>
      </c>
      <c r="J122" s="114">
        <v>2</v>
      </c>
      <c r="K122" s="2" t="e">
        <v>#N/A</v>
      </c>
      <c r="L122" s="2" t="e">
        <v>#N/A</v>
      </c>
    </row>
    <row r="123" spans="1:12" ht="16.5" customHeight="1" x14ac:dyDescent="0.35">
      <c r="A123" s="14">
        <v>122</v>
      </c>
      <c r="B123" s="139" t="s">
        <v>169</v>
      </c>
      <c r="C123" s="116">
        <v>50</v>
      </c>
      <c r="D123" s="116">
        <v>0</v>
      </c>
      <c r="E123" s="5">
        <v>1</v>
      </c>
      <c r="F123" s="5">
        <v>1</v>
      </c>
      <c r="G123" s="117">
        <v>0</v>
      </c>
      <c r="H123" s="5">
        <f t="shared" si="1"/>
        <v>0</v>
      </c>
      <c r="I123" s="114" t="s">
        <v>9</v>
      </c>
      <c r="J123" s="114">
        <v>2</v>
      </c>
      <c r="K123" s="2" t="e">
        <v>#N/A</v>
      </c>
      <c r="L123" s="2" t="e">
        <v>#N/A</v>
      </c>
    </row>
    <row r="124" spans="1:12" ht="16.5" customHeight="1" x14ac:dyDescent="0.35">
      <c r="A124" s="14">
        <v>123</v>
      </c>
      <c r="B124" s="139" t="s">
        <v>170</v>
      </c>
      <c r="C124" s="116">
        <v>39</v>
      </c>
      <c r="D124" s="116">
        <v>0</v>
      </c>
      <c r="E124" s="5">
        <v>1</v>
      </c>
      <c r="F124" s="5">
        <v>1</v>
      </c>
      <c r="G124" s="117">
        <v>0</v>
      </c>
      <c r="H124" s="5">
        <f t="shared" si="1"/>
        <v>0</v>
      </c>
      <c r="I124" s="114" t="s">
        <v>9</v>
      </c>
      <c r="J124" s="114">
        <v>2</v>
      </c>
      <c r="K124" s="2" t="e">
        <v>#N/A</v>
      </c>
      <c r="L124" s="2" t="e">
        <v>#N/A</v>
      </c>
    </row>
    <row r="125" spans="1:12" ht="16.5" customHeight="1" x14ac:dyDescent="0.35">
      <c r="A125" s="14">
        <v>124</v>
      </c>
      <c r="B125" s="139" t="s">
        <v>171</v>
      </c>
      <c r="C125" s="116">
        <v>15</v>
      </c>
      <c r="D125" s="116">
        <v>0</v>
      </c>
      <c r="E125" s="5">
        <v>1</v>
      </c>
      <c r="F125" s="5">
        <v>1</v>
      </c>
      <c r="G125" s="117">
        <v>0</v>
      </c>
      <c r="H125" s="5">
        <f t="shared" si="1"/>
        <v>0</v>
      </c>
      <c r="I125" s="114" t="s">
        <v>9</v>
      </c>
      <c r="J125" s="114">
        <v>2</v>
      </c>
      <c r="K125" s="2" t="e">
        <v>#N/A</v>
      </c>
      <c r="L125" s="2" t="e">
        <v>#N/A</v>
      </c>
    </row>
    <row r="126" spans="1:12" ht="16.5" customHeight="1" x14ac:dyDescent="0.35">
      <c r="A126" s="14">
        <v>125</v>
      </c>
      <c r="B126" s="141" t="s">
        <v>172</v>
      </c>
      <c r="C126" s="124">
        <v>70</v>
      </c>
      <c r="D126" s="124">
        <v>1</v>
      </c>
      <c r="E126" s="5">
        <v>1</v>
      </c>
      <c r="F126" s="5">
        <v>1</v>
      </c>
      <c r="G126" s="117">
        <v>0</v>
      </c>
      <c r="H126" s="5">
        <f t="shared" si="1"/>
        <v>1</v>
      </c>
      <c r="I126" s="114" t="s">
        <v>11</v>
      </c>
      <c r="J126" s="114">
        <v>1</v>
      </c>
      <c r="K126" s="2">
        <v>6</v>
      </c>
      <c r="L126" s="2">
        <v>7</v>
      </c>
    </row>
    <row r="127" spans="1:12" ht="16.5" customHeight="1" x14ac:dyDescent="0.35">
      <c r="A127" s="14">
        <v>126</v>
      </c>
      <c r="B127" s="142" t="s">
        <v>173</v>
      </c>
      <c r="C127" s="124">
        <v>72</v>
      </c>
      <c r="D127" s="124">
        <v>1</v>
      </c>
      <c r="E127" s="5">
        <v>1</v>
      </c>
      <c r="F127" s="5">
        <v>1</v>
      </c>
      <c r="G127" s="117">
        <v>0</v>
      </c>
      <c r="H127" s="5">
        <f t="shared" si="1"/>
        <v>1</v>
      </c>
      <c r="I127" s="114" t="s">
        <v>11</v>
      </c>
      <c r="J127" s="114">
        <v>1</v>
      </c>
      <c r="K127" s="2">
        <v>5</v>
      </c>
      <c r="L127" s="2">
        <v>7</v>
      </c>
    </row>
    <row r="128" spans="1:12" ht="16.5" customHeight="1" x14ac:dyDescent="0.35">
      <c r="A128" s="14">
        <v>127</v>
      </c>
      <c r="B128" s="142" t="s">
        <v>174</v>
      </c>
      <c r="C128" s="124">
        <v>67</v>
      </c>
      <c r="D128" s="124">
        <v>1</v>
      </c>
      <c r="E128" s="5">
        <v>1</v>
      </c>
      <c r="F128" s="5">
        <v>1</v>
      </c>
      <c r="G128" s="117">
        <v>0</v>
      </c>
      <c r="H128" s="5">
        <f t="shared" si="1"/>
        <v>1</v>
      </c>
      <c r="I128" s="114" t="s">
        <v>11</v>
      </c>
      <c r="J128" s="114">
        <v>1</v>
      </c>
      <c r="K128" s="2">
        <v>4</v>
      </c>
      <c r="L128" s="2">
        <v>7</v>
      </c>
    </row>
    <row r="129" spans="1:12" ht="16.5" customHeight="1" x14ac:dyDescent="0.35">
      <c r="A129" s="14">
        <v>128</v>
      </c>
      <c r="B129" s="142" t="s">
        <v>175</v>
      </c>
      <c r="C129" s="124">
        <v>80</v>
      </c>
      <c r="D129" s="124">
        <v>1</v>
      </c>
      <c r="E129" s="5">
        <v>1</v>
      </c>
      <c r="F129" s="5">
        <v>1</v>
      </c>
      <c r="G129" s="117">
        <v>0</v>
      </c>
      <c r="H129" s="5">
        <f t="shared" si="1"/>
        <v>1</v>
      </c>
      <c r="I129" s="114" t="s">
        <v>11</v>
      </c>
      <c r="J129" s="114">
        <v>1</v>
      </c>
      <c r="K129" s="2" t="e">
        <v>#N/A</v>
      </c>
      <c r="L129" s="2" t="e">
        <v>#N/A</v>
      </c>
    </row>
    <row r="130" spans="1:12" ht="16.5" customHeight="1" x14ac:dyDescent="0.35">
      <c r="A130" s="14">
        <v>129</v>
      </c>
      <c r="B130" s="141" t="s">
        <v>176</v>
      </c>
      <c r="C130" s="124">
        <v>75</v>
      </c>
      <c r="D130" s="124">
        <v>1</v>
      </c>
      <c r="E130" s="5">
        <v>1</v>
      </c>
      <c r="F130" s="5">
        <v>1</v>
      </c>
      <c r="G130" s="117">
        <v>0</v>
      </c>
      <c r="H130" s="5">
        <f t="shared" si="1"/>
        <v>1</v>
      </c>
      <c r="I130" s="114" t="s">
        <v>11</v>
      </c>
      <c r="J130" s="114">
        <v>1</v>
      </c>
      <c r="K130" s="2" t="e">
        <v>#N/A</v>
      </c>
      <c r="L130" s="2" t="e">
        <v>#N/A</v>
      </c>
    </row>
    <row r="131" spans="1:12" ht="16.5" customHeight="1" x14ac:dyDescent="0.35">
      <c r="A131" s="14">
        <v>130</v>
      </c>
      <c r="B131" s="142" t="s">
        <v>177</v>
      </c>
      <c r="C131" s="124">
        <v>71</v>
      </c>
      <c r="D131" s="124">
        <v>1</v>
      </c>
      <c r="E131" s="5">
        <v>1</v>
      </c>
      <c r="F131" s="5">
        <v>1</v>
      </c>
      <c r="G131" s="117">
        <v>0</v>
      </c>
      <c r="H131" s="5">
        <f t="shared" ref="H131:H172" si="2">IF(G131=0,IF(C131&lt;67,0,1),IF(C131&lt;26,0,1))</f>
        <v>1</v>
      </c>
      <c r="I131" s="114" t="s">
        <v>11</v>
      </c>
      <c r="J131" s="114">
        <v>1</v>
      </c>
      <c r="K131" s="2" t="e">
        <v>#N/A</v>
      </c>
      <c r="L131" s="2" t="e">
        <v>#N/A</v>
      </c>
    </row>
    <row r="132" spans="1:12" ht="16.5" customHeight="1" x14ac:dyDescent="0.35">
      <c r="A132" s="14">
        <v>131</v>
      </c>
      <c r="B132" s="142" t="s">
        <v>178</v>
      </c>
      <c r="C132" s="124">
        <v>71</v>
      </c>
      <c r="D132" s="124">
        <v>1</v>
      </c>
      <c r="E132" s="5">
        <v>1</v>
      </c>
      <c r="F132" s="5">
        <v>1</v>
      </c>
      <c r="G132" s="117">
        <v>0</v>
      </c>
      <c r="H132" s="5">
        <f t="shared" si="2"/>
        <v>1</v>
      </c>
      <c r="I132" s="114" t="s">
        <v>11</v>
      </c>
      <c r="J132" s="114">
        <v>1</v>
      </c>
      <c r="K132" s="2" t="e">
        <v>#N/A</v>
      </c>
      <c r="L132" s="2" t="e">
        <v>#N/A</v>
      </c>
    </row>
    <row r="133" spans="1:12" ht="16.5" customHeight="1" x14ac:dyDescent="0.35">
      <c r="A133" s="14">
        <v>132</v>
      </c>
      <c r="B133" s="142" t="s">
        <v>179</v>
      </c>
      <c r="C133" s="124">
        <v>50</v>
      </c>
      <c r="D133" s="124">
        <v>0</v>
      </c>
      <c r="E133" s="5">
        <v>1</v>
      </c>
      <c r="F133" s="5">
        <v>1</v>
      </c>
      <c r="G133" s="117">
        <v>1</v>
      </c>
      <c r="H133" s="5">
        <f t="shared" si="2"/>
        <v>1</v>
      </c>
      <c r="I133" s="114" t="s">
        <v>11</v>
      </c>
      <c r="J133" s="114">
        <v>1</v>
      </c>
      <c r="K133" s="2" t="e">
        <v>#N/A</v>
      </c>
      <c r="L133" s="2" t="e">
        <v>#N/A</v>
      </c>
    </row>
    <row r="134" spans="1:12" ht="16.5" customHeight="1" thickBot="1" x14ac:dyDescent="0.4">
      <c r="A134" s="14">
        <v>133</v>
      </c>
      <c r="B134" s="142" t="s">
        <v>180</v>
      </c>
      <c r="C134" s="124">
        <v>40</v>
      </c>
      <c r="D134" s="124">
        <v>0</v>
      </c>
      <c r="E134" s="5">
        <v>1</v>
      </c>
      <c r="F134" s="5">
        <v>1</v>
      </c>
      <c r="G134" s="117">
        <v>0</v>
      </c>
      <c r="H134" s="5">
        <f t="shared" si="2"/>
        <v>0</v>
      </c>
      <c r="I134" s="114" t="s">
        <v>11</v>
      </c>
      <c r="J134" s="114">
        <v>1</v>
      </c>
      <c r="K134" s="2" t="e">
        <v>#N/A</v>
      </c>
      <c r="L134" s="2" t="e">
        <v>#N/A</v>
      </c>
    </row>
    <row r="135" spans="1:12" ht="16.5" customHeight="1" x14ac:dyDescent="0.35">
      <c r="A135" s="14">
        <v>134</v>
      </c>
      <c r="B135" s="143" t="s">
        <v>181</v>
      </c>
      <c r="C135" s="125">
        <v>28</v>
      </c>
      <c r="D135" s="125">
        <v>0</v>
      </c>
      <c r="E135" s="5">
        <v>1</v>
      </c>
      <c r="F135" s="5">
        <v>1</v>
      </c>
      <c r="G135" s="117">
        <v>0</v>
      </c>
      <c r="H135" s="5">
        <f t="shared" si="2"/>
        <v>0</v>
      </c>
      <c r="I135" s="114" t="s">
        <v>11</v>
      </c>
      <c r="J135" s="114">
        <v>1</v>
      </c>
      <c r="K135" s="2" t="e">
        <v>#N/A</v>
      </c>
      <c r="L135" s="2" t="e">
        <v>#N/A</v>
      </c>
    </row>
    <row r="136" spans="1:12" ht="16.5" customHeight="1" thickBot="1" x14ac:dyDescent="0.4">
      <c r="A136" s="14">
        <v>135</v>
      </c>
      <c r="B136" s="144" t="s">
        <v>182</v>
      </c>
      <c r="C136" s="125">
        <v>41</v>
      </c>
      <c r="D136" s="125">
        <v>0</v>
      </c>
      <c r="E136" s="5">
        <v>1</v>
      </c>
      <c r="F136" s="5">
        <v>1</v>
      </c>
      <c r="G136" s="117">
        <v>0</v>
      </c>
      <c r="H136" s="5">
        <f t="shared" si="2"/>
        <v>0</v>
      </c>
      <c r="I136" s="114" t="s">
        <v>11</v>
      </c>
      <c r="J136" s="114">
        <v>1</v>
      </c>
      <c r="K136" s="2" t="e">
        <v>#N/A</v>
      </c>
      <c r="L136" s="2" t="e">
        <v>#N/A</v>
      </c>
    </row>
    <row r="137" spans="1:12" ht="16.5" customHeight="1" x14ac:dyDescent="0.35">
      <c r="A137" s="14">
        <v>136</v>
      </c>
      <c r="B137" s="143" t="s">
        <v>183</v>
      </c>
      <c r="C137" s="125">
        <v>32</v>
      </c>
      <c r="D137" s="125">
        <v>0</v>
      </c>
      <c r="E137" s="5">
        <v>1</v>
      </c>
      <c r="F137" s="5">
        <v>1</v>
      </c>
      <c r="G137" s="117">
        <v>0</v>
      </c>
      <c r="H137" s="5">
        <f t="shared" si="2"/>
        <v>0</v>
      </c>
      <c r="I137" s="114" t="s">
        <v>11</v>
      </c>
      <c r="J137" s="114">
        <v>1</v>
      </c>
      <c r="K137" s="2" t="e">
        <v>#N/A</v>
      </c>
      <c r="L137" s="2" t="e">
        <v>#N/A</v>
      </c>
    </row>
    <row r="138" spans="1:12" ht="16.5" customHeight="1" thickBot="1" x14ac:dyDescent="0.4">
      <c r="A138" s="14">
        <v>137</v>
      </c>
      <c r="B138" s="144" t="s">
        <v>184</v>
      </c>
      <c r="C138" s="125">
        <v>39</v>
      </c>
      <c r="D138" s="125">
        <v>0</v>
      </c>
      <c r="E138" s="5">
        <v>1</v>
      </c>
      <c r="F138" s="5">
        <v>1</v>
      </c>
      <c r="G138" s="117">
        <v>0</v>
      </c>
      <c r="H138" s="5">
        <f t="shared" si="2"/>
        <v>0</v>
      </c>
      <c r="I138" s="114" t="s">
        <v>11</v>
      </c>
      <c r="J138" s="114">
        <v>1</v>
      </c>
      <c r="K138" s="2" t="e">
        <v>#N/A</v>
      </c>
      <c r="L138" s="2" t="e">
        <v>#N/A</v>
      </c>
    </row>
    <row r="139" spans="1:12" ht="16.5" customHeight="1" x14ac:dyDescent="0.35">
      <c r="A139" s="14">
        <v>138</v>
      </c>
      <c r="B139" s="142" t="s">
        <v>185</v>
      </c>
      <c r="C139" s="125">
        <v>67</v>
      </c>
      <c r="D139" s="125">
        <v>1</v>
      </c>
      <c r="E139" s="5">
        <v>1</v>
      </c>
      <c r="F139" s="5">
        <v>1</v>
      </c>
      <c r="G139" s="117">
        <v>0</v>
      </c>
      <c r="H139" s="5">
        <f t="shared" si="2"/>
        <v>1</v>
      </c>
      <c r="I139" s="114" t="s">
        <v>11</v>
      </c>
      <c r="J139" s="114">
        <v>2</v>
      </c>
      <c r="K139" s="2" t="e">
        <v>#N/A</v>
      </c>
      <c r="L139" s="2" t="e">
        <v>#N/A</v>
      </c>
    </row>
    <row r="140" spans="1:12" ht="16.5" customHeight="1" x14ac:dyDescent="0.35">
      <c r="A140" s="14">
        <v>139</v>
      </c>
      <c r="B140" s="142" t="s">
        <v>186</v>
      </c>
      <c r="C140" s="125">
        <v>73</v>
      </c>
      <c r="D140" s="125">
        <v>1</v>
      </c>
      <c r="E140" s="5">
        <v>1</v>
      </c>
      <c r="F140" s="5">
        <v>1</v>
      </c>
      <c r="G140" s="117">
        <v>0</v>
      </c>
      <c r="H140" s="5">
        <f t="shared" si="2"/>
        <v>1</v>
      </c>
      <c r="I140" s="114" t="s">
        <v>11</v>
      </c>
      <c r="J140" s="114">
        <v>2</v>
      </c>
      <c r="K140" s="2" t="e">
        <v>#N/A</v>
      </c>
      <c r="L140" s="2" t="e">
        <v>#N/A</v>
      </c>
    </row>
    <row r="141" spans="1:12" ht="16.5" customHeight="1" x14ac:dyDescent="0.35">
      <c r="A141" s="14">
        <v>140</v>
      </c>
      <c r="B141" s="142" t="s">
        <v>187</v>
      </c>
      <c r="C141" s="125">
        <v>67</v>
      </c>
      <c r="D141" s="125">
        <v>1</v>
      </c>
      <c r="E141" s="5">
        <v>1</v>
      </c>
      <c r="F141" s="5">
        <v>1</v>
      </c>
      <c r="G141" s="117">
        <v>0</v>
      </c>
      <c r="H141" s="5">
        <f t="shared" si="2"/>
        <v>1</v>
      </c>
      <c r="I141" s="114" t="s">
        <v>11</v>
      </c>
      <c r="J141" s="114">
        <v>2</v>
      </c>
      <c r="K141" s="2" t="e">
        <v>#N/A</v>
      </c>
      <c r="L141" s="2" t="e">
        <v>#N/A</v>
      </c>
    </row>
    <row r="142" spans="1:12" ht="16.5" customHeight="1" x14ac:dyDescent="0.35">
      <c r="A142" s="14">
        <v>141</v>
      </c>
      <c r="B142" s="142" t="s">
        <v>188</v>
      </c>
      <c r="C142" s="125">
        <v>31</v>
      </c>
      <c r="D142" s="125">
        <v>0</v>
      </c>
      <c r="E142" s="5">
        <v>1</v>
      </c>
      <c r="F142" s="5">
        <v>1</v>
      </c>
      <c r="G142" s="117">
        <v>1</v>
      </c>
      <c r="H142" s="5">
        <f t="shared" si="2"/>
        <v>1</v>
      </c>
      <c r="I142" s="114" t="s">
        <v>11</v>
      </c>
      <c r="J142" s="114">
        <v>2</v>
      </c>
      <c r="K142" s="2" t="e">
        <v>#N/A</v>
      </c>
      <c r="L142" s="2" t="e">
        <v>#N/A</v>
      </c>
    </row>
    <row r="143" spans="1:12" ht="16.5" customHeight="1" x14ac:dyDescent="0.35">
      <c r="A143" s="14">
        <v>142</v>
      </c>
      <c r="B143" s="142" t="s">
        <v>189</v>
      </c>
      <c r="C143" s="125">
        <v>36</v>
      </c>
      <c r="D143" s="125">
        <v>0</v>
      </c>
      <c r="E143" s="5">
        <v>1</v>
      </c>
      <c r="F143" s="5">
        <v>1</v>
      </c>
      <c r="G143" s="117">
        <v>1</v>
      </c>
      <c r="H143" s="5">
        <f t="shared" si="2"/>
        <v>1</v>
      </c>
      <c r="I143" s="114" t="s">
        <v>11</v>
      </c>
      <c r="J143" s="114">
        <v>2</v>
      </c>
      <c r="K143" s="2" t="e">
        <v>#N/A</v>
      </c>
      <c r="L143" s="2" t="e">
        <v>#N/A</v>
      </c>
    </row>
    <row r="144" spans="1:12" ht="16.5" customHeight="1" x14ac:dyDescent="0.35">
      <c r="A144" s="14">
        <v>143</v>
      </c>
      <c r="B144" s="142" t="s">
        <v>190</v>
      </c>
      <c r="C144" s="125">
        <v>3</v>
      </c>
      <c r="D144" s="125">
        <v>0</v>
      </c>
      <c r="E144" s="5">
        <v>1</v>
      </c>
      <c r="F144" s="5">
        <v>1</v>
      </c>
      <c r="G144" s="117">
        <v>0</v>
      </c>
      <c r="H144" s="5">
        <f t="shared" si="2"/>
        <v>0</v>
      </c>
      <c r="I144" s="114" t="s">
        <v>11</v>
      </c>
      <c r="J144" s="114">
        <v>2</v>
      </c>
      <c r="K144" s="2" t="e">
        <v>#N/A</v>
      </c>
      <c r="L144" s="2" t="e">
        <v>#N/A</v>
      </c>
    </row>
    <row r="145" spans="1:12" ht="16.5" customHeight="1" x14ac:dyDescent="0.35">
      <c r="A145" s="14">
        <v>144</v>
      </c>
      <c r="B145" s="142" t="s">
        <v>191</v>
      </c>
      <c r="C145" s="125">
        <v>63</v>
      </c>
      <c r="D145" s="125">
        <v>0</v>
      </c>
      <c r="E145" s="5">
        <v>1</v>
      </c>
      <c r="F145" s="5">
        <v>1</v>
      </c>
      <c r="G145" s="117">
        <v>0</v>
      </c>
      <c r="H145" s="5">
        <f t="shared" si="2"/>
        <v>0</v>
      </c>
      <c r="I145" s="114" t="s">
        <v>11</v>
      </c>
      <c r="J145" s="114">
        <v>2</v>
      </c>
      <c r="K145" s="2" t="e">
        <v>#N/A</v>
      </c>
      <c r="L145" s="2" t="e">
        <v>#N/A</v>
      </c>
    </row>
    <row r="146" spans="1:12" ht="16.5" customHeight="1" x14ac:dyDescent="0.35">
      <c r="A146" s="14">
        <v>145</v>
      </c>
      <c r="B146" s="142" t="s">
        <v>192</v>
      </c>
      <c r="C146" s="125">
        <v>70</v>
      </c>
      <c r="D146" s="125">
        <v>1</v>
      </c>
      <c r="E146" s="5">
        <v>1</v>
      </c>
      <c r="F146" s="5">
        <v>1</v>
      </c>
      <c r="G146" s="117">
        <v>0</v>
      </c>
      <c r="H146" s="5">
        <f t="shared" si="2"/>
        <v>1</v>
      </c>
      <c r="I146" s="114" t="s">
        <v>11</v>
      </c>
      <c r="J146" s="114">
        <v>2</v>
      </c>
      <c r="K146" s="2" t="e">
        <v>#N/A</v>
      </c>
      <c r="L146" s="2" t="e">
        <v>#N/A</v>
      </c>
    </row>
    <row r="147" spans="1:12" ht="16.5" customHeight="1" x14ac:dyDescent="0.35">
      <c r="A147" s="14">
        <v>146</v>
      </c>
      <c r="B147" s="145" t="s">
        <v>193</v>
      </c>
      <c r="C147" s="125">
        <v>36</v>
      </c>
      <c r="D147" s="125">
        <v>0</v>
      </c>
      <c r="E147" s="5">
        <v>1</v>
      </c>
      <c r="F147" s="5">
        <v>1</v>
      </c>
      <c r="G147" s="117">
        <v>0</v>
      </c>
      <c r="H147" s="5">
        <f t="shared" si="2"/>
        <v>0</v>
      </c>
      <c r="I147" s="114" t="s">
        <v>11</v>
      </c>
      <c r="J147" s="114">
        <v>2</v>
      </c>
      <c r="K147" s="2" t="e">
        <v>#N/A</v>
      </c>
      <c r="L147" s="2" t="e">
        <v>#N/A</v>
      </c>
    </row>
    <row r="148" spans="1:12" ht="16.5" customHeight="1" x14ac:dyDescent="0.35">
      <c r="A148" s="14">
        <v>147</v>
      </c>
      <c r="B148" s="145" t="s">
        <v>194</v>
      </c>
      <c r="C148" s="125">
        <v>27</v>
      </c>
      <c r="D148" s="125">
        <v>0</v>
      </c>
      <c r="E148" s="5">
        <v>1</v>
      </c>
      <c r="F148" s="5">
        <v>1</v>
      </c>
      <c r="G148" s="117">
        <v>0</v>
      </c>
      <c r="H148" s="5">
        <f t="shared" si="2"/>
        <v>0</v>
      </c>
      <c r="I148" s="114" t="s">
        <v>11</v>
      </c>
      <c r="J148" s="114">
        <v>2</v>
      </c>
      <c r="K148" s="2" t="e">
        <v>#N/A</v>
      </c>
      <c r="L148" s="2" t="e">
        <v>#N/A</v>
      </c>
    </row>
    <row r="149" spans="1:12" ht="16.5" customHeight="1" x14ac:dyDescent="0.35">
      <c r="A149" s="14">
        <v>148</v>
      </c>
      <c r="B149" s="145" t="s">
        <v>195</v>
      </c>
      <c r="C149" s="125">
        <v>62</v>
      </c>
      <c r="D149" s="125">
        <v>0</v>
      </c>
      <c r="E149" s="5">
        <v>1</v>
      </c>
      <c r="F149" s="5">
        <v>1</v>
      </c>
      <c r="G149" s="117">
        <v>0</v>
      </c>
      <c r="H149" s="5">
        <f t="shared" si="2"/>
        <v>0</v>
      </c>
      <c r="I149" s="114" t="s">
        <v>11</v>
      </c>
      <c r="J149" s="114">
        <v>2</v>
      </c>
      <c r="K149" s="2" t="e">
        <v>#N/A</v>
      </c>
      <c r="L149" s="2" t="e">
        <v>#N/A</v>
      </c>
    </row>
    <row r="150" spans="1:12" ht="16.5" customHeight="1" x14ac:dyDescent="0.35">
      <c r="A150" s="14">
        <v>149</v>
      </c>
      <c r="B150" s="145" t="s">
        <v>196</v>
      </c>
      <c r="C150" s="125">
        <v>62</v>
      </c>
      <c r="D150" s="125">
        <v>0</v>
      </c>
      <c r="E150" s="5">
        <v>1</v>
      </c>
      <c r="F150" s="5">
        <v>1</v>
      </c>
      <c r="G150" s="117">
        <v>0</v>
      </c>
      <c r="H150" s="5">
        <f t="shared" si="2"/>
        <v>0</v>
      </c>
      <c r="I150" s="114" t="s">
        <v>11</v>
      </c>
      <c r="J150" s="114">
        <v>2</v>
      </c>
      <c r="K150" s="2" t="e">
        <v>#N/A</v>
      </c>
      <c r="L150" s="2" t="e">
        <v>#N/A</v>
      </c>
    </row>
    <row r="151" spans="1:12" ht="16.5" customHeight="1" x14ac:dyDescent="0.35">
      <c r="A151" s="14">
        <v>150</v>
      </c>
      <c r="B151" s="146" t="s">
        <v>197</v>
      </c>
      <c r="C151" s="126">
        <v>75</v>
      </c>
      <c r="D151" s="126">
        <v>1</v>
      </c>
      <c r="E151" s="5">
        <v>1</v>
      </c>
      <c r="F151" s="5">
        <v>1</v>
      </c>
      <c r="G151" s="117">
        <v>0</v>
      </c>
      <c r="H151" s="5">
        <f t="shared" si="2"/>
        <v>1</v>
      </c>
      <c r="I151" s="114" t="s">
        <v>13</v>
      </c>
      <c r="J151" s="114">
        <v>1</v>
      </c>
      <c r="K151" s="2" t="e">
        <v>#N/A</v>
      </c>
      <c r="L151" s="2" t="e">
        <v>#N/A</v>
      </c>
    </row>
    <row r="152" spans="1:12" ht="16.5" customHeight="1" x14ac:dyDescent="0.35">
      <c r="A152" s="14">
        <v>151</v>
      </c>
      <c r="B152" s="147" t="s">
        <v>198</v>
      </c>
      <c r="C152" s="126">
        <v>77</v>
      </c>
      <c r="D152" s="126">
        <v>1</v>
      </c>
      <c r="E152" s="5">
        <v>1</v>
      </c>
      <c r="F152" s="5">
        <v>1</v>
      </c>
      <c r="G152" s="117">
        <v>0</v>
      </c>
      <c r="H152" s="5">
        <f t="shared" si="2"/>
        <v>1</v>
      </c>
      <c r="I152" s="114" t="s">
        <v>13</v>
      </c>
      <c r="J152" s="114">
        <v>1</v>
      </c>
      <c r="K152" s="2" t="e">
        <v>#N/A</v>
      </c>
      <c r="L152" s="2" t="e">
        <v>#N/A</v>
      </c>
    </row>
    <row r="153" spans="1:12" ht="16.5" customHeight="1" x14ac:dyDescent="0.35">
      <c r="A153" s="14">
        <v>152</v>
      </c>
      <c r="B153" s="146" t="s">
        <v>199</v>
      </c>
      <c r="C153" s="126">
        <v>74</v>
      </c>
      <c r="D153" s="126">
        <v>1</v>
      </c>
      <c r="E153" s="5">
        <v>1</v>
      </c>
      <c r="F153" s="5">
        <v>1</v>
      </c>
      <c r="G153" s="117">
        <v>0</v>
      </c>
      <c r="H153" s="5">
        <f t="shared" si="2"/>
        <v>1</v>
      </c>
      <c r="I153" s="114" t="s">
        <v>13</v>
      </c>
      <c r="J153" s="114">
        <v>1</v>
      </c>
      <c r="K153" s="2" t="e">
        <v>#N/A</v>
      </c>
      <c r="L153" s="2" t="e">
        <v>#N/A</v>
      </c>
    </row>
    <row r="154" spans="1:12" ht="16.5" customHeight="1" x14ac:dyDescent="0.35">
      <c r="A154" s="14">
        <v>153</v>
      </c>
      <c r="B154" s="147" t="s">
        <v>200</v>
      </c>
      <c r="C154" s="126">
        <v>75</v>
      </c>
      <c r="D154" s="126">
        <v>1</v>
      </c>
      <c r="E154" s="5">
        <v>1</v>
      </c>
      <c r="F154" s="5">
        <v>1</v>
      </c>
      <c r="G154" s="117">
        <v>0</v>
      </c>
      <c r="H154" s="5">
        <f t="shared" si="2"/>
        <v>1</v>
      </c>
      <c r="I154" s="114" t="s">
        <v>13</v>
      </c>
      <c r="J154" s="114">
        <v>1</v>
      </c>
      <c r="K154" s="2" t="e">
        <v>#N/A</v>
      </c>
      <c r="L154" s="2" t="e">
        <v>#N/A</v>
      </c>
    </row>
    <row r="155" spans="1:12" ht="16.5" customHeight="1" x14ac:dyDescent="0.35">
      <c r="A155" s="14">
        <v>154</v>
      </c>
      <c r="B155" s="148" t="s">
        <v>201</v>
      </c>
      <c r="C155" s="127">
        <v>66</v>
      </c>
      <c r="D155" s="127">
        <v>0</v>
      </c>
      <c r="E155" s="5">
        <v>1</v>
      </c>
      <c r="F155" s="5">
        <v>1</v>
      </c>
      <c r="G155" s="117">
        <v>0</v>
      </c>
      <c r="H155" s="5">
        <f t="shared" si="2"/>
        <v>0</v>
      </c>
      <c r="I155" s="114" t="s">
        <v>13</v>
      </c>
      <c r="J155" s="114">
        <v>1</v>
      </c>
      <c r="K155" s="2">
        <v>6</v>
      </c>
      <c r="L155" s="2">
        <v>7</v>
      </c>
    </row>
    <row r="156" spans="1:12" ht="16.5" customHeight="1" x14ac:dyDescent="0.35">
      <c r="A156" s="14">
        <v>155</v>
      </c>
      <c r="B156" s="148" t="s">
        <v>202</v>
      </c>
      <c r="C156" s="127">
        <v>66</v>
      </c>
      <c r="D156" s="127">
        <v>0</v>
      </c>
      <c r="E156" s="5">
        <v>1</v>
      </c>
      <c r="F156" s="5">
        <v>1</v>
      </c>
      <c r="G156" s="117">
        <v>0</v>
      </c>
      <c r="H156" s="5">
        <f t="shared" si="2"/>
        <v>0</v>
      </c>
      <c r="I156" s="114" t="s">
        <v>13</v>
      </c>
      <c r="J156" s="114">
        <v>1</v>
      </c>
      <c r="K156" s="2">
        <v>5</v>
      </c>
      <c r="L156" s="2">
        <v>7</v>
      </c>
    </row>
    <row r="157" spans="1:12" ht="16.5" customHeight="1" x14ac:dyDescent="0.35">
      <c r="A157" s="14">
        <v>156</v>
      </c>
      <c r="B157" s="148" t="s">
        <v>203</v>
      </c>
      <c r="C157" s="127">
        <v>70</v>
      </c>
      <c r="D157" s="127">
        <v>1</v>
      </c>
      <c r="E157" s="5">
        <v>1</v>
      </c>
      <c r="F157" s="5">
        <v>1</v>
      </c>
      <c r="G157" s="117">
        <v>0</v>
      </c>
      <c r="H157" s="5">
        <f t="shared" si="2"/>
        <v>1</v>
      </c>
      <c r="I157" s="114" t="s">
        <v>13</v>
      </c>
      <c r="J157" s="114">
        <v>1</v>
      </c>
      <c r="K157" s="2">
        <v>4</v>
      </c>
      <c r="L157" s="2">
        <v>7</v>
      </c>
    </row>
    <row r="158" spans="1:12" ht="16.5" customHeight="1" x14ac:dyDescent="0.35">
      <c r="A158" s="14">
        <v>157</v>
      </c>
      <c r="B158" s="149" t="s">
        <v>204</v>
      </c>
      <c r="C158" s="127">
        <v>38</v>
      </c>
      <c r="D158" s="127">
        <v>0</v>
      </c>
      <c r="E158" s="5">
        <v>1</v>
      </c>
      <c r="F158" s="5">
        <v>1</v>
      </c>
      <c r="G158" s="117">
        <v>0</v>
      </c>
      <c r="H158" s="5">
        <f t="shared" si="2"/>
        <v>0</v>
      </c>
      <c r="I158" s="114" t="s">
        <v>13</v>
      </c>
      <c r="J158" s="114">
        <v>1</v>
      </c>
      <c r="K158" s="2" t="e">
        <v>#N/A</v>
      </c>
      <c r="L158" s="2" t="e">
        <v>#N/A</v>
      </c>
    </row>
    <row r="159" spans="1:12" ht="16.5" customHeight="1" x14ac:dyDescent="0.35">
      <c r="A159" s="14">
        <v>158</v>
      </c>
      <c r="B159" s="150" t="s">
        <v>205</v>
      </c>
      <c r="C159" s="127">
        <v>37</v>
      </c>
      <c r="D159" s="127">
        <v>0</v>
      </c>
      <c r="E159" s="5">
        <v>1</v>
      </c>
      <c r="F159" s="5">
        <v>1</v>
      </c>
      <c r="G159" s="117">
        <v>0</v>
      </c>
      <c r="H159" s="5">
        <f t="shared" si="2"/>
        <v>0</v>
      </c>
      <c r="I159" s="114" t="s">
        <v>13</v>
      </c>
      <c r="J159" s="114">
        <v>1</v>
      </c>
      <c r="K159" s="2" t="e">
        <v>#N/A</v>
      </c>
      <c r="L159" s="2" t="e">
        <v>#N/A</v>
      </c>
    </row>
    <row r="160" spans="1:12" ht="16.5" customHeight="1" x14ac:dyDescent="0.35">
      <c r="A160" s="14">
        <v>159</v>
      </c>
      <c r="B160" s="149" t="s">
        <v>206</v>
      </c>
      <c r="C160" s="127">
        <v>22</v>
      </c>
      <c r="D160" s="127">
        <v>0</v>
      </c>
      <c r="E160" s="5">
        <v>1</v>
      </c>
      <c r="F160" s="5">
        <v>1</v>
      </c>
      <c r="G160" s="117">
        <v>0</v>
      </c>
      <c r="H160" s="5">
        <f t="shared" si="2"/>
        <v>0</v>
      </c>
      <c r="I160" s="114" t="s">
        <v>13</v>
      </c>
      <c r="J160" s="114">
        <v>1</v>
      </c>
      <c r="K160" s="2" t="e">
        <v>#N/A</v>
      </c>
      <c r="L160" s="2" t="e">
        <v>#N/A</v>
      </c>
    </row>
    <row r="161" spans="1:12" ht="16.5" customHeight="1" x14ac:dyDescent="0.35">
      <c r="A161" s="14">
        <v>160</v>
      </c>
      <c r="B161" s="150" t="s">
        <v>207</v>
      </c>
      <c r="C161" s="127">
        <v>57</v>
      </c>
      <c r="D161" s="127">
        <v>0</v>
      </c>
      <c r="E161" s="5">
        <v>1</v>
      </c>
      <c r="F161" s="5">
        <v>1</v>
      </c>
      <c r="G161" s="117">
        <v>0</v>
      </c>
      <c r="H161" s="5">
        <f t="shared" si="2"/>
        <v>0</v>
      </c>
      <c r="I161" s="114" t="s">
        <v>13</v>
      </c>
      <c r="J161" s="114">
        <v>1</v>
      </c>
      <c r="K161" s="2" t="e">
        <v>#N/A</v>
      </c>
      <c r="L161" s="2" t="e">
        <v>#N/A</v>
      </c>
    </row>
    <row r="162" spans="1:12" ht="16.5" customHeight="1" x14ac:dyDescent="0.35">
      <c r="A162" s="14">
        <v>161</v>
      </c>
      <c r="B162" s="148" t="s">
        <v>208</v>
      </c>
      <c r="C162" s="127">
        <v>54</v>
      </c>
      <c r="D162" s="127">
        <v>0</v>
      </c>
      <c r="E162" s="5">
        <v>1</v>
      </c>
      <c r="F162" s="5">
        <v>1</v>
      </c>
      <c r="G162" s="117">
        <v>0</v>
      </c>
      <c r="H162" s="5">
        <f t="shared" si="2"/>
        <v>0</v>
      </c>
      <c r="I162" s="114" t="s">
        <v>13</v>
      </c>
      <c r="J162" s="114">
        <v>2</v>
      </c>
      <c r="K162" s="2" t="e">
        <v>#N/A</v>
      </c>
      <c r="L162" s="2" t="e">
        <v>#N/A</v>
      </c>
    </row>
    <row r="163" spans="1:12" ht="16.5" customHeight="1" x14ac:dyDescent="0.35">
      <c r="A163" s="14">
        <v>162</v>
      </c>
      <c r="B163" s="149" t="s">
        <v>209</v>
      </c>
      <c r="C163" s="127">
        <v>54</v>
      </c>
      <c r="D163" s="127">
        <v>0</v>
      </c>
      <c r="E163" s="5">
        <v>1</v>
      </c>
      <c r="F163" s="5">
        <v>1</v>
      </c>
      <c r="G163" s="117">
        <v>0</v>
      </c>
      <c r="H163" s="5">
        <f t="shared" si="2"/>
        <v>0</v>
      </c>
      <c r="I163" s="114" t="s">
        <v>13</v>
      </c>
      <c r="J163" s="114">
        <v>2</v>
      </c>
      <c r="K163" s="2" t="e">
        <v>#N/A</v>
      </c>
      <c r="L163" s="2" t="e">
        <v>#N/A</v>
      </c>
    </row>
    <row r="164" spans="1:12" ht="16.5" customHeight="1" x14ac:dyDescent="0.35">
      <c r="A164" s="14">
        <v>163</v>
      </c>
      <c r="B164" s="151" t="s">
        <v>210</v>
      </c>
      <c r="C164" s="127">
        <v>53</v>
      </c>
      <c r="D164" s="127">
        <v>0</v>
      </c>
      <c r="E164" s="5">
        <v>1</v>
      </c>
      <c r="F164" s="5">
        <v>1</v>
      </c>
      <c r="G164" s="117">
        <v>0</v>
      </c>
      <c r="H164" s="5">
        <f t="shared" si="2"/>
        <v>0</v>
      </c>
      <c r="I164" s="114" t="s">
        <v>13</v>
      </c>
      <c r="J164" s="114">
        <v>2</v>
      </c>
      <c r="K164" s="2" t="e">
        <v>#N/A</v>
      </c>
      <c r="L164" s="2" t="e">
        <v>#N/A</v>
      </c>
    </row>
    <row r="165" spans="1:12" ht="16.5" customHeight="1" x14ac:dyDescent="0.35">
      <c r="A165" s="14">
        <v>164</v>
      </c>
      <c r="B165" s="149" t="s">
        <v>211</v>
      </c>
      <c r="C165" s="127">
        <v>53</v>
      </c>
      <c r="D165" s="127">
        <v>0</v>
      </c>
      <c r="E165" s="5">
        <v>1</v>
      </c>
      <c r="F165" s="5">
        <v>1</v>
      </c>
      <c r="G165" s="117">
        <v>0</v>
      </c>
      <c r="H165" s="5">
        <f t="shared" si="2"/>
        <v>0</v>
      </c>
      <c r="I165" s="114" t="s">
        <v>13</v>
      </c>
      <c r="J165" s="114">
        <v>2</v>
      </c>
      <c r="K165" s="2" t="e">
        <v>#N/A</v>
      </c>
      <c r="L165" s="2" t="e">
        <v>#N/A</v>
      </c>
    </row>
    <row r="166" spans="1:12" ht="16.5" customHeight="1" x14ac:dyDescent="0.35">
      <c r="A166" s="14">
        <v>165</v>
      </c>
      <c r="B166" s="152" t="s">
        <v>212</v>
      </c>
      <c r="C166" s="127">
        <v>54</v>
      </c>
      <c r="D166" s="127">
        <v>0</v>
      </c>
      <c r="E166" s="5">
        <v>1</v>
      </c>
      <c r="F166" s="5">
        <v>1</v>
      </c>
      <c r="G166" s="117">
        <v>0</v>
      </c>
      <c r="H166" s="5">
        <f t="shared" si="2"/>
        <v>0</v>
      </c>
      <c r="I166" s="114" t="s">
        <v>13</v>
      </c>
      <c r="J166" s="114">
        <v>2</v>
      </c>
      <c r="K166" s="2" t="e">
        <v>#N/A</v>
      </c>
      <c r="L166" s="2" t="e">
        <v>#N/A</v>
      </c>
    </row>
    <row r="167" spans="1:12" ht="16.5" customHeight="1" x14ac:dyDescent="0.35">
      <c r="A167" s="14">
        <v>166</v>
      </c>
      <c r="B167" s="153" t="s">
        <v>213</v>
      </c>
      <c r="C167" s="127">
        <v>54</v>
      </c>
      <c r="D167" s="127">
        <v>0</v>
      </c>
      <c r="E167" s="5">
        <v>1</v>
      </c>
      <c r="F167" s="5">
        <v>1</v>
      </c>
      <c r="G167" s="117">
        <v>0</v>
      </c>
      <c r="H167" s="5">
        <f t="shared" si="2"/>
        <v>0</v>
      </c>
      <c r="I167" s="114" t="s">
        <v>13</v>
      </c>
      <c r="J167" s="114">
        <v>2</v>
      </c>
      <c r="K167" s="2" t="e">
        <v>#N/A</v>
      </c>
      <c r="L167" s="2" t="e">
        <v>#N/A</v>
      </c>
    </row>
    <row r="168" spans="1:12" ht="16.5" customHeight="1" x14ac:dyDescent="0.35">
      <c r="A168" s="14">
        <v>167</v>
      </c>
      <c r="B168" s="154" t="s">
        <v>214</v>
      </c>
      <c r="C168" s="127">
        <v>30</v>
      </c>
      <c r="D168" s="127">
        <v>0</v>
      </c>
      <c r="E168" s="5">
        <v>1</v>
      </c>
      <c r="F168" s="5">
        <v>1</v>
      </c>
      <c r="G168" s="117">
        <v>0</v>
      </c>
      <c r="H168" s="5">
        <f t="shared" si="2"/>
        <v>0</v>
      </c>
      <c r="I168" s="114" t="s">
        <v>13</v>
      </c>
      <c r="J168" s="114">
        <v>2</v>
      </c>
      <c r="K168" s="2" t="e">
        <v>#N/A</v>
      </c>
      <c r="L168" s="2" t="e">
        <v>#N/A</v>
      </c>
    </row>
    <row r="169" spans="1:12" ht="16.5" customHeight="1" x14ac:dyDescent="0.35">
      <c r="A169" s="14">
        <v>168</v>
      </c>
      <c r="B169" s="155" t="s">
        <v>215</v>
      </c>
      <c r="C169" s="127">
        <v>18</v>
      </c>
      <c r="D169" s="127">
        <v>0</v>
      </c>
      <c r="E169" s="5">
        <v>1</v>
      </c>
      <c r="F169" s="5">
        <v>1</v>
      </c>
      <c r="G169" s="117">
        <v>1</v>
      </c>
      <c r="H169" s="5">
        <f t="shared" si="2"/>
        <v>0</v>
      </c>
      <c r="I169" s="114" t="s">
        <v>13</v>
      </c>
      <c r="J169" s="114">
        <v>2</v>
      </c>
      <c r="K169" s="2" t="e">
        <v>#N/A</v>
      </c>
      <c r="L169" s="2" t="e">
        <v>#N/A</v>
      </c>
    </row>
    <row r="170" spans="1:12" ht="16.5" customHeight="1" x14ac:dyDescent="0.35">
      <c r="A170" s="14">
        <v>169</v>
      </c>
      <c r="B170" s="152" t="s">
        <v>216</v>
      </c>
      <c r="C170" s="127">
        <v>32</v>
      </c>
      <c r="D170" s="127">
        <v>0</v>
      </c>
      <c r="E170" s="5">
        <v>1</v>
      </c>
      <c r="F170" s="5">
        <v>1</v>
      </c>
      <c r="G170" s="117">
        <v>0</v>
      </c>
      <c r="H170" s="5">
        <f t="shared" si="2"/>
        <v>0</v>
      </c>
      <c r="I170" s="114" t="s">
        <v>13</v>
      </c>
      <c r="J170" s="114">
        <v>2</v>
      </c>
      <c r="K170" s="2" t="e">
        <v>#N/A</v>
      </c>
      <c r="L170" s="2" t="e">
        <v>#N/A</v>
      </c>
    </row>
    <row r="171" spans="1:12" ht="16.5" customHeight="1" x14ac:dyDescent="0.35">
      <c r="A171" s="14">
        <v>170</v>
      </c>
      <c r="B171" s="153" t="s">
        <v>217</v>
      </c>
      <c r="C171" s="127">
        <v>19</v>
      </c>
      <c r="D171" s="127">
        <v>0</v>
      </c>
      <c r="E171" s="5">
        <v>1</v>
      </c>
      <c r="F171" s="5">
        <v>1</v>
      </c>
      <c r="G171" s="117">
        <v>0</v>
      </c>
      <c r="H171" s="5">
        <f t="shared" si="2"/>
        <v>0</v>
      </c>
      <c r="I171" s="114" t="s">
        <v>13</v>
      </c>
      <c r="J171" s="114">
        <v>2</v>
      </c>
      <c r="K171" s="2" t="e">
        <v>#N/A</v>
      </c>
      <c r="L171" s="2" t="e">
        <v>#N/A</v>
      </c>
    </row>
    <row r="172" spans="1:12" ht="16.5" customHeight="1" x14ac:dyDescent="0.35">
      <c r="A172" s="14">
        <v>171</v>
      </c>
      <c r="B172" s="148" t="s">
        <v>218</v>
      </c>
      <c r="C172" s="127">
        <v>55</v>
      </c>
      <c r="D172" s="127">
        <v>0</v>
      </c>
      <c r="E172" s="5">
        <v>1</v>
      </c>
      <c r="F172" s="5">
        <v>1</v>
      </c>
      <c r="G172" s="117">
        <v>0</v>
      </c>
      <c r="H172" s="5">
        <f t="shared" si="2"/>
        <v>0</v>
      </c>
      <c r="I172" s="114" t="s">
        <v>13</v>
      </c>
      <c r="J172" s="114">
        <v>2</v>
      </c>
      <c r="K172" s="2" t="e">
        <v>#N/A</v>
      </c>
      <c r="L172" s="2" t="e">
        <v>#N/A</v>
      </c>
    </row>
  </sheetData>
  <hyperlinks>
    <hyperlink ref="B164" r:id="rId1" display="http://egitimdeyapilanma.istanbul.edu.tr/izlence.php?id=26533"/>
  </hyperlinks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8"/>
  <sheetViews>
    <sheetView workbookViewId="0">
      <selection activeCell="F5" sqref="F5"/>
    </sheetView>
  </sheetViews>
  <sheetFormatPr defaultRowHeight="14.5" x14ac:dyDescent="0.35"/>
  <cols>
    <col min="1" max="1" width="13.36328125" bestFit="1" customWidth="1"/>
    <col min="2" max="2" width="20.7265625" bestFit="1" customWidth="1"/>
    <col min="3" max="3" width="8.1796875" bestFit="1" customWidth="1"/>
    <col min="4" max="4" width="15.36328125" bestFit="1" customWidth="1"/>
    <col min="5" max="5" width="14.08984375" bestFit="1" customWidth="1"/>
    <col min="6" max="6" width="14.1796875" bestFit="1" customWidth="1"/>
  </cols>
  <sheetData>
    <row r="1" spans="1:6" x14ac:dyDescent="0.35">
      <c r="A1" s="90" t="s">
        <v>320</v>
      </c>
      <c r="B1" s="90" t="s">
        <v>321</v>
      </c>
      <c r="C1" s="90" t="s">
        <v>317</v>
      </c>
      <c r="D1" s="90" t="s">
        <v>322</v>
      </c>
      <c r="E1" s="90" t="s">
        <v>323</v>
      </c>
      <c r="F1" s="90" t="s">
        <v>324</v>
      </c>
    </row>
    <row r="2" spans="1:6" x14ac:dyDescent="0.35">
      <c r="A2" s="10">
        <v>1</v>
      </c>
      <c r="B2" s="10" t="s">
        <v>249</v>
      </c>
      <c r="C2" s="10">
        <v>1</v>
      </c>
      <c r="D2" s="10">
        <v>16</v>
      </c>
      <c r="E2" s="10" t="s">
        <v>325</v>
      </c>
      <c r="F2" s="10"/>
    </row>
    <row r="3" spans="1:6" x14ac:dyDescent="0.35">
      <c r="A3" s="10">
        <v>2</v>
      </c>
      <c r="B3" s="10" t="s">
        <v>250</v>
      </c>
      <c r="C3" s="10">
        <v>1</v>
      </c>
      <c r="D3" s="10">
        <v>16</v>
      </c>
      <c r="E3" s="10"/>
      <c r="F3" s="10"/>
    </row>
    <row r="4" spans="1:6" x14ac:dyDescent="0.35">
      <c r="A4" s="10">
        <v>3</v>
      </c>
      <c r="B4" s="10" t="s">
        <v>251</v>
      </c>
      <c r="C4" s="10">
        <v>1</v>
      </c>
      <c r="D4" s="10">
        <v>16</v>
      </c>
      <c r="E4" s="10"/>
      <c r="F4" s="10" t="s">
        <v>326</v>
      </c>
    </row>
    <row r="5" spans="1:6" x14ac:dyDescent="0.35">
      <c r="A5" s="10">
        <v>4</v>
      </c>
      <c r="B5" s="10" t="s">
        <v>252</v>
      </c>
      <c r="C5" s="10">
        <v>1</v>
      </c>
      <c r="D5" s="10">
        <v>16</v>
      </c>
      <c r="E5" s="10"/>
      <c r="F5" s="10"/>
    </row>
    <row r="6" spans="1:6" x14ac:dyDescent="0.35">
      <c r="A6" s="10">
        <v>5</v>
      </c>
      <c r="B6" s="10" t="s">
        <v>253</v>
      </c>
      <c r="C6" s="10">
        <v>1</v>
      </c>
      <c r="D6" s="10">
        <v>16</v>
      </c>
      <c r="E6" s="10"/>
      <c r="F6" s="10"/>
    </row>
    <row r="7" spans="1:6" x14ac:dyDescent="0.35">
      <c r="A7" s="10">
        <v>6</v>
      </c>
      <c r="B7" s="10" t="s">
        <v>254</v>
      </c>
      <c r="C7" s="10">
        <v>1</v>
      </c>
      <c r="D7" s="10">
        <v>16</v>
      </c>
      <c r="E7" s="10"/>
      <c r="F7" s="10"/>
    </row>
    <row r="8" spans="1:6" x14ac:dyDescent="0.35">
      <c r="A8" s="10">
        <v>7</v>
      </c>
      <c r="B8" s="10" t="s">
        <v>255</v>
      </c>
      <c r="C8" s="10">
        <v>1</v>
      </c>
      <c r="D8" s="10">
        <v>16</v>
      </c>
      <c r="E8" s="10"/>
      <c r="F8" s="10"/>
    </row>
    <row r="9" spans="1:6" x14ac:dyDescent="0.35">
      <c r="A9" s="10">
        <v>8</v>
      </c>
      <c r="B9" s="10" t="s">
        <v>256</v>
      </c>
      <c r="C9" s="10">
        <v>1</v>
      </c>
      <c r="D9" s="10">
        <v>16</v>
      </c>
      <c r="E9" s="10"/>
      <c r="F9" s="10"/>
    </row>
    <row r="10" spans="1:6" x14ac:dyDescent="0.35">
      <c r="A10" s="10">
        <v>9</v>
      </c>
      <c r="B10" s="10" t="s">
        <v>257</v>
      </c>
      <c r="C10" s="10">
        <v>1</v>
      </c>
      <c r="D10" s="10">
        <v>16</v>
      </c>
      <c r="E10" s="10"/>
      <c r="F10" s="10"/>
    </row>
    <row r="11" spans="1:6" x14ac:dyDescent="0.35">
      <c r="A11" s="10">
        <v>10</v>
      </c>
      <c r="B11" s="10" t="s">
        <v>258</v>
      </c>
      <c r="C11" s="10">
        <v>1</v>
      </c>
      <c r="D11" s="10">
        <v>16</v>
      </c>
      <c r="E11" s="10"/>
      <c r="F11" s="10"/>
    </row>
    <row r="12" spans="1:6" x14ac:dyDescent="0.35">
      <c r="A12" s="10">
        <v>11</v>
      </c>
      <c r="B12" s="10" t="s">
        <v>259</v>
      </c>
      <c r="C12" s="10">
        <v>1</v>
      </c>
      <c r="D12" s="10">
        <v>16</v>
      </c>
      <c r="E12" s="10"/>
      <c r="F12" s="10"/>
    </row>
    <row r="13" spans="1:6" x14ac:dyDescent="0.35">
      <c r="A13" s="10">
        <v>12</v>
      </c>
      <c r="B13" s="10" t="s">
        <v>260</v>
      </c>
      <c r="C13" s="10">
        <v>1</v>
      </c>
      <c r="D13" s="10">
        <v>16</v>
      </c>
      <c r="E13" s="10"/>
      <c r="F13" s="10"/>
    </row>
    <row r="14" spans="1:6" x14ac:dyDescent="0.35">
      <c r="A14" s="10">
        <v>13</v>
      </c>
      <c r="B14" s="10" t="s">
        <v>261</v>
      </c>
      <c r="C14" s="10">
        <v>2</v>
      </c>
      <c r="D14" s="10">
        <v>16</v>
      </c>
      <c r="E14" s="10"/>
      <c r="F14" s="10"/>
    </row>
    <row r="15" spans="1:6" x14ac:dyDescent="0.35">
      <c r="A15" s="10">
        <v>14</v>
      </c>
      <c r="B15" s="10" t="s">
        <v>262</v>
      </c>
      <c r="C15" s="10">
        <v>2</v>
      </c>
      <c r="D15" s="10">
        <v>16</v>
      </c>
      <c r="E15" s="10"/>
      <c r="F15" s="10"/>
    </row>
    <row r="16" spans="1:6" x14ac:dyDescent="0.35">
      <c r="A16" s="10">
        <v>15</v>
      </c>
      <c r="B16" s="10" t="s">
        <v>263</v>
      </c>
      <c r="C16" s="10">
        <v>2</v>
      </c>
      <c r="D16" s="10">
        <v>14</v>
      </c>
      <c r="E16" s="10"/>
      <c r="F16" s="10"/>
    </row>
    <row r="17" spans="1:6" x14ac:dyDescent="0.35">
      <c r="A17" s="10">
        <v>16</v>
      </c>
      <c r="B17" s="10" t="s">
        <v>264</v>
      </c>
      <c r="C17" s="10">
        <v>2</v>
      </c>
      <c r="D17" s="10">
        <v>14</v>
      </c>
      <c r="E17" s="10"/>
      <c r="F17" s="10"/>
    </row>
    <row r="18" spans="1:6" x14ac:dyDescent="0.35">
      <c r="A18" s="10">
        <v>17</v>
      </c>
      <c r="B18" s="10" t="s">
        <v>265</v>
      </c>
      <c r="C18" s="10">
        <v>2</v>
      </c>
      <c r="D18" s="10">
        <v>14</v>
      </c>
      <c r="E18" s="10"/>
      <c r="F18" s="10"/>
    </row>
    <row r="19" spans="1:6" x14ac:dyDescent="0.35">
      <c r="A19" s="10">
        <v>18</v>
      </c>
      <c r="B19" s="10" t="s">
        <v>266</v>
      </c>
      <c r="C19" s="10">
        <v>2</v>
      </c>
      <c r="D19" s="10">
        <v>14</v>
      </c>
      <c r="E19" s="10"/>
      <c r="F19" s="10"/>
    </row>
    <row r="20" spans="1:6" x14ac:dyDescent="0.35">
      <c r="A20" s="10">
        <v>19</v>
      </c>
      <c r="B20" s="10" t="s">
        <v>267</v>
      </c>
      <c r="C20" s="10">
        <v>2</v>
      </c>
      <c r="D20" s="10">
        <v>14</v>
      </c>
      <c r="E20" s="10"/>
      <c r="F20" s="10"/>
    </row>
    <row r="21" spans="1:6" x14ac:dyDescent="0.35">
      <c r="A21" s="10">
        <v>20</v>
      </c>
      <c r="B21" s="10" t="s">
        <v>268</v>
      </c>
      <c r="C21" s="10">
        <v>2</v>
      </c>
      <c r="D21" s="10">
        <v>14</v>
      </c>
      <c r="E21" s="10"/>
      <c r="F21" s="10"/>
    </row>
    <row r="22" spans="1:6" x14ac:dyDescent="0.35">
      <c r="A22" s="10">
        <v>21</v>
      </c>
      <c r="B22" s="10" t="s">
        <v>269</v>
      </c>
      <c r="C22" s="10">
        <v>2</v>
      </c>
      <c r="D22" s="10">
        <v>14</v>
      </c>
      <c r="E22" s="10"/>
      <c r="F22" s="10"/>
    </row>
    <row r="23" spans="1:6" x14ac:dyDescent="0.35">
      <c r="A23" s="10">
        <v>22</v>
      </c>
      <c r="B23" s="10" t="s">
        <v>270</v>
      </c>
      <c r="C23" s="10">
        <v>2</v>
      </c>
      <c r="D23" s="10">
        <v>14</v>
      </c>
      <c r="E23" s="10"/>
      <c r="F23" s="10"/>
    </row>
    <row r="24" spans="1:6" x14ac:dyDescent="0.35">
      <c r="A24" s="10">
        <v>23</v>
      </c>
      <c r="B24" s="10" t="s">
        <v>271</v>
      </c>
      <c r="C24" s="10">
        <v>2</v>
      </c>
      <c r="D24" s="10">
        <v>14</v>
      </c>
      <c r="E24" s="10"/>
      <c r="F24" s="10"/>
    </row>
    <row r="25" spans="1:6" x14ac:dyDescent="0.35">
      <c r="A25" s="10">
        <v>24</v>
      </c>
      <c r="B25" s="10" t="s">
        <v>272</v>
      </c>
      <c r="C25" s="10">
        <v>2</v>
      </c>
      <c r="D25" s="10">
        <v>14</v>
      </c>
      <c r="E25" s="10"/>
      <c r="F25" s="10"/>
    </row>
    <row r="26" spans="1:6" x14ac:dyDescent="0.35">
      <c r="A26" s="10">
        <v>25</v>
      </c>
      <c r="B26" s="10" t="s">
        <v>273</v>
      </c>
      <c r="C26" s="10">
        <v>2</v>
      </c>
      <c r="D26" s="10">
        <v>14</v>
      </c>
      <c r="E26" s="10"/>
      <c r="F26" s="10"/>
    </row>
    <row r="27" spans="1:6" x14ac:dyDescent="0.35">
      <c r="A27" s="10">
        <v>26</v>
      </c>
      <c r="B27" s="10" t="s">
        <v>274</v>
      </c>
      <c r="C27" s="10">
        <v>1</v>
      </c>
      <c r="D27" s="10">
        <v>0</v>
      </c>
      <c r="E27" s="10"/>
      <c r="F27" s="10"/>
    </row>
    <row r="28" spans="1:6" x14ac:dyDescent="0.35">
      <c r="A28" s="10">
        <v>27</v>
      </c>
      <c r="B28" s="10" t="s">
        <v>275</v>
      </c>
      <c r="C28" s="10">
        <v>1</v>
      </c>
      <c r="D28" s="10">
        <v>0</v>
      </c>
      <c r="E28" s="10"/>
      <c r="F28" s="1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"/>
  <sheetViews>
    <sheetView workbookViewId="0">
      <selection activeCell="G9" sqref="G9"/>
    </sheetView>
  </sheetViews>
  <sheetFormatPr defaultRowHeight="14.5" x14ac:dyDescent="0.35"/>
  <cols>
    <col min="1" max="1" width="14.36328125" bestFit="1" customWidth="1"/>
    <col min="2" max="2" width="15.7265625" customWidth="1"/>
    <col min="3" max="3" width="10.26953125" bestFit="1" customWidth="1"/>
    <col min="4" max="4" width="10.08984375" bestFit="1" customWidth="1"/>
  </cols>
  <sheetData>
    <row r="1" spans="1:4" ht="29" x14ac:dyDescent="0.35">
      <c r="A1" s="156" t="s">
        <v>327</v>
      </c>
      <c r="B1" s="104" t="s">
        <v>328</v>
      </c>
      <c r="C1" s="1" t="s">
        <v>329</v>
      </c>
      <c r="D1" s="1" t="s">
        <v>314</v>
      </c>
    </row>
    <row r="2" spans="1:4" x14ac:dyDescent="0.35">
      <c r="A2" s="71">
        <v>1</v>
      </c>
      <c r="B2" s="72" t="s">
        <v>15</v>
      </c>
      <c r="C2" s="72">
        <v>66</v>
      </c>
      <c r="D2" s="157">
        <v>0</v>
      </c>
    </row>
    <row r="3" spans="1:4" x14ac:dyDescent="0.35">
      <c r="A3" s="71">
        <v>2</v>
      </c>
      <c r="B3" s="72" t="s">
        <v>16</v>
      </c>
      <c r="C3" s="72">
        <v>66</v>
      </c>
      <c r="D3" s="157">
        <v>0</v>
      </c>
    </row>
    <row r="4" spans="1:4" x14ac:dyDescent="0.35">
      <c r="A4" s="71">
        <v>3</v>
      </c>
      <c r="B4" s="72" t="s">
        <v>17</v>
      </c>
      <c r="C4" s="72">
        <v>66</v>
      </c>
      <c r="D4" s="157">
        <v>0</v>
      </c>
    </row>
    <row r="5" spans="1:4" x14ac:dyDescent="0.35">
      <c r="A5" s="71">
        <v>4</v>
      </c>
      <c r="B5" s="72" t="s">
        <v>18</v>
      </c>
      <c r="C5" s="72">
        <v>66</v>
      </c>
      <c r="D5" s="157">
        <v>0</v>
      </c>
    </row>
    <row r="6" spans="1:4" x14ac:dyDescent="0.35">
      <c r="A6" s="71">
        <v>5</v>
      </c>
      <c r="B6" s="72" t="s">
        <v>19</v>
      </c>
      <c r="C6" s="72">
        <v>66</v>
      </c>
      <c r="D6" s="157">
        <v>0</v>
      </c>
    </row>
    <row r="7" spans="1:4" x14ac:dyDescent="0.35">
      <c r="A7" s="71">
        <v>6</v>
      </c>
      <c r="B7" s="72" t="s">
        <v>283</v>
      </c>
      <c r="C7" s="72">
        <v>48</v>
      </c>
      <c r="D7" s="157">
        <v>0</v>
      </c>
    </row>
    <row r="8" spans="1:4" x14ac:dyDescent="0.35">
      <c r="A8" s="71">
        <v>7</v>
      </c>
      <c r="B8" s="72" t="s">
        <v>284</v>
      </c>
      <c r="C8" s="72">
        <v>45</v>
      </c>
      <c r="D8" s="157">
        <v>0</v>
      </c>
    </row>
    <row r="9" spans="1:4" x14ac:dyDescent="0.35">
      <c r="A9" s="71">
        <v>8</v>
      </c>
      <c r="B9" s="72" t="s">
        <v>285</v>
      </c>
      <c r="C9" s="72">
        <v>45</v>
      </c>
      <c r="D9" s="157">
        <v>0</v>
      </c>
    </row>
    <row r="10" spans="1:4" x14ac:dyDescent="0.35">
      <c r="A10" s="71">
        <v>9</v>
      </c>
      <c r="B10" s="72" t="s">
        <v>286</v>
      </c>
      <c r="C10" s="72">
        <v>45</v>
      </c>
      <c r="D10" s="157">
        <v>0</v>
      </c>
    </row>
    <row r="11" spans="1:4" x14ac:dyDescent="0.35">
      <c r="A11" s="71">
        <v>10</v>
      </c>
      <c r="B11" s="72" t="s">
        <v>287</v>
      </c>
      <c r="C11" s="72">
        <v>43</v>
      </c>
      <c r="D11" s="157">
        <v>0</v>
      </c>
    </row>
    <row r="12" spans="1:4" x14ac:dyDescent="0.35">
      <c r="A12" s="71">
        <v>11</v>
      </c>
      <c r="B12" s="72" t="s">
        <v>288</v>
      </c>
      <c r="C12" s="72">
        <v>45</v>
      </c>
      <c r="D12" s="157">
        <v>0</v>
      </c>
    </row>
    <row r="13" spans="1:4" x14ac:dyDescent="0.35">
      <c r="A13" s="71">
        <v>12</v>
      </c>
      <c r="B13" s="72" t="s">
        <v>297</v>
      </c>
      <c r="C13" s="72">
        <v>25</v>
      </c>
      <c r="D13" s="157">
        <v>1</v>
      </c>
    </row>
    <row r="14" spans="1:4" ht="15" thickBot="1" x14ac:dyDescent="0.4">
      <c r="A14" s="73">
        <v>13</v>
      </c>
      <c r="B14" s="73" t="s">
        <v>298</v>
      </c>
      <c r="C14" s="72">
        <v>25</v>
      </c>
      <c r="D14" s="157">
        <v>1</v>
      </c>
    </row>
    <row r="15" spans="1:4" x14ac:dyDescent="0.35">
      <c r="A15" s="74">
        <v>14</v>
      </c>
      <c r="B15" s="74" t="s">
        <v>299</v>
      </c>
      <c r="C15" s="72">
        <v>25</v>
      </c>
      <c r="D15" s="157">
        <v>1</v>
      </c>
    </row>
    <row r="16" spans="1:4" ht="15" thickBot="1" x14ac:dyDescent="0.4">
      <c r="A16" s="73">
        <v>15</v>
      </c>
      <c r="B16" s="73" t="s">
        <v>300</v>
      </c>
      <c r="C16" s="72">
        <v>25</v>
      </c>
      <c r="D16" s="15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tabSelected="1" workbookViewId="0">
      <selection activeCell="E5" sqref="E5"/>
    </sheetView>
  </sheetViews>
  <sheetFormatPr defaultRowHeight="14.5" x14ac:dyDescent="0.35"/>
  <cols>
    <col min="1" max="2" width="12.36328125" bestFit="1" customWidth="1"/>
    <col min="4" max="4" width="13.90625" customWidth="1"/>
    <col min="5" max="5" width="7.90625" bestFit="1" customWidth="1"/>
  </cols>
  <sheetData>
    <row r="1" spans="1:4" x14ac:dyDescent="0.35">
      <c r="A1" s="5" t="s">
        <v>330</v>
      </c>
      <c r="B1" s="5" t="s">
        <v>331</v>
      </c>
      <c r="C1" s="5" t="s">
        <v>332</v>
      </c>
      <c r="D1" s="88" t="s">
        <v>333</v>
      </c>
    </row>
    <row r="2" spans="1:4" x14ac:dyDescent="0.35">
      <c r="A2" s="10">
        <v>25</v>
      </c>
      <c r="B2" s="10">
        <v>86</v>
      </c>
      <c r="C2" s="10">
        <v>100</v>
      </c>
      <c r="D2" s="10">
        <v>1</v>
      </c>
    </row>
    <row r="3" spans="1:4" x14ac:dyDescent="0.35">
      <c r="A3" s="10">
        <v>44</v>
      </c>
      <c r="B3" s="10">
        <v>136</v>
      </c>
      <c r="C3" s="10">
        <v>100</v>
      </c>
      <c r="D3" s="10">
        <v>0</v>
      </c>
    </row>
    <row r="4" spans="1:4" x14ac:dyDescent="0.35">
      <c r="A4" s="10">
        <v>34</v>
      </c>
      <c r="B4" s="10">
        <v>135</v>
      </c>
      <c r="C4" s="10">
        <v>100</v>
      </c>
      <c r="D4" s="10">
        <v>0</v>
      </c>
    </row>
    <row r="5" spans="1:4" x14ac:dyDescent="0.35">
      <c r="A5" s="10">
        <v>43</v>
      </c>
      <c r="B5" s="10">
        <v>102</v>
      </c>
      <c r="C5" s="10">
        <v>100</v>
      </c>
      <c r="D5" s="10">
        <v>1</v>
      </c>
    </row>
    <row r="6" spans="1:4" x14ac:dyDescent="0.35">
      <c r="A6" s="10">
        <v>4</v>
      </c>
      <c r="B6" s="10">
        <v>27</v>
      </c>
      <c r="C6" s="10">
        <v>200</v>
      </c>
      <c r="D6" s="10">
        <v>1</v>
      </c>
    </row>
    <row r="7" spans="1:4" x14ac:dyDescent="0.35">
      <c r="A7" s="10">
        <v>27</v>
      </c>
      <c r="B7" s="10">
        <v>58</v>
      </c>
      <c r="C7" s="10">
        <v>200</v>
      </c>
      <c r="D7" s="10">
        <v>1</v>
      </c>
    </row>
    <row r="8" spans="1:4" x14ac:dyDescent="0.35">
      <c r="A8" s="10">
        <v>58</v>
      </c>
      <c r="B8" s="10">
        <v>59</v>
      </c>
      <c r="C8" s="10">
        <v>200</v>
      </c>
      <c r="D8" s="10">
        <v>1</v>
      </c>
    </row>
    <row r="9" spans="1:4" x14ac:dyDescent="0.35">
      <c r="A9" s="10">
        <v>59</v>
      </c>
      <c r="B9" s="10">
        <v>130</v>
      </c>
      <c r="C9" s="10">
        <v>200</v>
      </c>
      <c r="D9" s="10">
        <v>1</v>
      </c>
    </row>
    <row r="10" spans="1:4" x14ac:dyDescent="0.35">
      <c r="A10" s="10">
        <v>18</v>
      </c>
      <c r="B10" s="10">
        <v>66</v>
      </c>
      <c r="C10" s="10">
        <v>50</v>
      </c>
      <c r="D10" s="10">
        <v>0</v>
      </c>
    </row>
    <row r="11" spans="1:4" x14ac:dyDescent="0.35">
      <c r="A11" s="10">
        <v>66</v>
      </c>
      <c r="B11" s="10">
        <v>97</v>
      </c>
      <c r="C11" s="10">
        <v>50</v>
      </c>
      <c r="D11" s="10">
        <v>0</v>
      </c>
    </row>
    <row r="12" spans="1:4" x14ac:dyDescent="0.35">
      <c r="A12" s="10">
        <v>17</v>
      </c>
      <c r="B12" s="10">
        <v>38</v>
      </c>
      <c r="C12" s="10">
        <v>50</v>
      </c>
      <c r="D12" s="10">
        <v>0</v>
      </c>
    </row>
    <row r="13" spans="1:4" x14ac:dyDescent="0.35">
      <c r="A13" s="10">
        <v>39</v>
      </c>
      <c r="B13" s="10">
        <v>119</v>
      </c>
      <c r="C13" s="10">
        <v>100</v>
      </c>
      <c r="D13" s="10">
        <v>1</v>
      </c>
    </row>
    <row r="14" spans="1:4" x14ac:dyDescent="0.35">
      <c r="A14" s="10">
        <v>47</v>
      </c>
      <c r="B14" s="10">
        <v>94</v>
      </c>
      <c r="C14" s="10">
        <v>50</v>
      </c>
      <c r="D14" s="1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toredFilesList xmlns:xsd="http://www.w3.org/2001/XMLSchema" xmlns:xsi="http://www.w3.org/2001/XMLSchema-instance" xmlns="http://opensolver.org" xml:space="preserve" Version="01.00">
  <StoredFiles>
    <StoredFile>
      <FileName>Untitled</FileName>
      <LanguageName>GurobiPython</LanguageName>
      <ModelPaneVisible>true</ModelPaneVisible>
      <ModelSettings/>
      <FileText>#yeni eklenen kisitlar
#ayni anda olsun dersleri icin olusturulan tabloyu cikardik.
#onun yerine coursefeature tablosuna 5.sutun ekledik. sonra zamanlari icin tablo tanimladik.
#yaninda a,b,c ya da d yazan dersleri pes pese yaziyoruz.
#Bu derslerden sonraki slotu bos birakacagiz. 
from gurobipy import * 
from SolverStudio import *
SchoolX  = [EMLAK1,EMLAK2,BANKA1,BANKA2,ISLETME1,ISLETME2,PAZARLAMA1,PAZARLAMA2,DISTICARET1,DISTICARET2,MUHASEBE1,MUHASEBE2,TURIZM1,TURIZM2]
SchoolX2 = [EMLAK1+EMLAK2,BANKA1+BANKA2,ISLETME1+ISLETME2,PAZARLAMA1+PAZARLAMA2,DISTICARET1+DISTICARET2,MUHASEBE1+MUHASEBE2,TURIZM1+TURIZM2]
m = Model("IU_ExamScheduling")
SubModels = {}
for d in Days:
   for t in TimeInterval:
      #print((d,t))
      SubModels[(d,t)] = Model("Submodel"+"_"+str(d)+"_" +str(t))
## Define variables
##X variable
ExamVar={}
for d in Days:
   for i in Courses:
      for j in Classrooms:
         for t in TimeInterval:
            ExamVar[i,j,d,t] = SubModels[(d,t)].addVar(obj=100, vtype=GRB.BINARY, name = '%d.%d.%d.%d' % (i,j,d,t))
##Z variable
CourseVar={}
for d in Days:
   for i in Courses:
      for t in TimeInterval:
         CourseVar[i,d,t] = m.addVar(obj=0, vtype=GRB.BINARY, name = '%d.%d.%d' % (i,d,t))
## Population Variable 
Population={}
for d in Days:
   for i in Courses:
      for j in Classrooms:
         for t in TimeInterval:
            Population[i,j,d,t] = SubModels[(d,t)].addVar(obj=100, vtype=GRB.CONTINUOUS, name = '%d.%d.%d' % (i,j,d))
Derslik = {}
for d in Days:
   for j in Classrooms:
      for t in TimeInterval:
         Derslik[j,d,t] = SubModels[(d,t)].addVar(obj=100, vtype=GRB.BINARY, name = '%d.%d.%d' % (i,j,d))
dev1 = {}
dev2 = {}
for r in SameTimeListIndex:
   for d in Days:
      for t in TimeInterval:
         dev1[r,d,t]=m.addVar(obj = SameTimeList[r,2], vtype=GRB.CONTINUOUS,name = '%d.%d.%d' %(i,d,t))
         dev2[r,d,t]=m.addVar(obj = SameTimeList[r,2], vtype=GRB.CONTINUOUS,name = '%d.%d.%d' %(i,d,t))
#simdilik kapattik hizli cozum bulabilmek icin
#24.01.2020
#25.0.2020 actik tekrar
dev3= {}
for s in range(len(SchoolX)):
   for i1 in range(len(SchoolX[s])):
      for i2 in range(i1+1,len(SchoolX[s])):
         for i3 in range(i2+1,len(SchoolX[s])):
            for d in Days:
               dev3[s,i1,i2,i3,d]=m.addVar(obj = 5, vtype=GRB.CONTINUOUS, ub =1, name = '%d.%d.%d' %(i,d,t))
m.update()
for d in Days:
    for t in TimeInterval:
        SubModels[(d,t)].update()
m.setObjective(
quicksum([dev1[r,d,t]*SameTimeList[r,2] for r in SameTimeListIndex for d in Days for t in TimeInterval])\
+quicksum([dev2[r,d,t]*SameTimeList[r,2] for r in SameTimeListIndex for d in Days for t in TimeInterval])\
)
m.modelSense = GRB.MINIMIZE
SixtyCourses = ()
LessSixtyCourses = ()
for i in Courses:
   if CourseFeature[i,0] == 1:
      SixtyCourses = SixtyCourses + (i,)
   elif CourseFeature[i,0] == 0:
      LessSixtyCourses = LessSixtyCourses + (i,)
#we need to define classroom courses and laboratory courses by using tuples
ClassroomCourses = ()
LaboratoryCourses = ()
for i in Courses:
   if CourseFeature[i,3]==0:
      ClassroomCourses = ClassroomCourses + (i,)
   elif CourseFeature[i,3]==1:
      LaboratoryCourses = LaboratoryCourses + (i,)
#Constraint A.1
#The number of students taking the exam cannot exceed total capacity
for d in Days: #
   for t in TimeInterval:
      m.addConstr((quicksum(CourseVar[i,d,t]*capacityofcourses[i,2] for i in ClassroomCourses)&lt;= quicksum(capacityofclass[j,1] for j in Classroom)), name='demand_%d' % (i))
      m.addConstr((quicksum(CourseVar[i,d,t]*capacityofcourses[i,2] for i in LaboratoryCourses)&lt;= quicksum(capacityofclass[j,1] for j in LabClassroom)), name='demand_%d' % (i))
#Constraint 1
#Each course can be assigned a day and time interval.
#birinci ogretim tek slotlar
for i in Courses: #tek slot suren sinavlar
   m.addConstr((quicksum(CourseVar[i,d,t] for d in Days for t in TimeInterval)==1), name='demand_%d' % (i))
# Constraint 6
#Bir bolumun bir zaman araliginda bir sinavinin olmasi
for d in Days:
   for t in TimeInterval:
      for ii in SchoolX2:
         for i in ii:
            for ip in ii:
               if(i&lt;ip) and not ((i in SameTimeCoursesArray1) and (ip in SameTimeCoursesArray2)):
                  m.addConstr((CourseVar[i,d,t] + CourseVar[ip,d,t] &lt;=1), name='demand1_%d' % (i))
# Constraint 8
# Ayni anda olmasi gereken sinavlar var. Zorunlu degil.
#08.10.2019
#bazi dersler kesinklikle ayni anda olmali, bazilari ise olsada olur olmasada
#bunun icin sapma degiskenine carpim katsayisi ekledik. 1 ise hard, 0 ise soft
for r in SameTimeListIndex:
   for d in Days:
      for t in TimeInterval:
          m.addConstr(((CourseVar[SameTimeList[r,0],d,t]/CourseFeature[SameTimeList[r,0],2] - CourseVar[SameTimeList[r,1],d,t]/CourseFeature[SameTimeList[r,1],2]) == 0 + dev1[r,d,t]*(1-SameTimeList[r,3])-dev2[r,d,t]*(1-SameTimeList[r,3])), name='demand_%d' % (i))
MyTuple =()
for i in range(len(ExceptionArray1)):
   MyTuple = MyTuple + ((ExceptionArray1[i],ExceptionArray2[i]),)
#Bir gunde mumkunse 2 den fazla ders yazmasin
for s in range(len(SchoolX)):
   for i1 in range(len(SchoolX[s])):
      for i2 in range(i1+1,len(SchoolX[s])):
         for i3 in range(i2+1,len(SchoolX[s])):
            for d in Days:
               if not (((SchoolX[s][i1],SchoolX[s][i2]) in MyTuple) or ((SchoolX[s][i1],SchoolX[s][i3]) in MyTuple) or ((SchoolX[s][i2],SchoolX[s][i3]) in MyTuple)):
                  m.addConstr((( quicksum(CourseVar[SchoolX[s][i1],d,t]/CourseFeature[SchoolX[s][i1],2]  + CourseVar[SchoolX[s][i2],d,t]/CourseFeature[SchoolX[s][i2],2] + CourseVar[SchoolX[s][i3],d,t]/CourseFeature[SchoolX[s][i3],2] for t in TimeInterval)) &lt;= 2 + dev3[s,i1,i2,i3,d]), name='demand_%s' % (i))
#ayni gun kesinlikle 3 sinav olmasin
for s in range(len(SchoolX)):
   for i1 in range(len(SchoolX[s])):
      for i2 in range(i1+1,len(SchoolX[s])):
         for i3 in range(i2+1,len(SchoolX[s])):
            for i4 in range(i3+1,len(SchoolX[s])):
               for d in Days:
                  if not (((SchoolX[s][i1],SchoolX[s][i2]) in MyTuple) or ((SchoolX[s][i1],SchoolX[s][i3]) in MyTuple) or ((SchoolX[s][i2],SchoolX[s][i3]) in MyTuple) or ((SchoolX[s][i1],SchoolX[s][i4]) in MyTuple) or ((SchoolX[s][i2],SchoolX[s][i4]) in MyTuple) or ((SchoolX[s][i3],SchoolX[s][i4]) in MyTuple)):
                     m.addConstr((( quicksum(CourseVar[SchoolX[s][i1],d,t]/CourseFeature[SchoolX[s][i1],2]  + CourseVar[SchoolX[s][i2],d,t]/CourseFeature[SchoolX[s][i2],2] + CourseVar[SchoolX[s][i3],d,t]/CourseFeature[SchoolX[s][i3],2] + CourseVar[SchoolX[s][i4],d,t]/CourseFeature[SchoolX[s][i4],2] for t in TimeInterval)) &lt;= 3 ), name='demand_%s' % (i))
for i in Courses: 
   if CourseFeature[i,5]== "a":
      for s in JointCourseListIndex:
         if JointCourseList[s,1] == "a":
            m.addConstr(((CourseVar[i,JointCourseList[s,2],JointCourseList[s,3]]) == 1), name='demand_%d' % (i))
   if CourseFeature[i,5]== "b":
      for s in JointCourseListIndex:
         if JointCourseList[s,1] == "b":
            m.addConstr(((CourseVar[i,JointCourseList[s,2],JointCourseList[s,3]]) == 1), name='demand_%d' % (i))
   if CourseFeature[i,5]== "c":
      for s in JointCourseListIndex:
         if JointCourseList[s,1] == "c":
            m.addConstr(((CourseVar[i,JointCourseList[s,2],JointCourseList[s,3]]) == 1), name='demand_%d' % (i))
   if CourseFeature[i,5]== "d":
      for s in JointCourseListIndex:
         if JointCourseList[s,1] == "d":
            m.addConstr(((CourseVar[i,JointCourseList[s,2],JointCourseList[s,3]]) == 1), name='demand_%d' % (i))
   if CourseFeature[i,5]== "e":
      for s in JointCourseListIndex:
         if JointCourseList[s,1] == "e":
            m.addConstr(((CourseVar[i,JointCourseList[s,2],JointCourseList[s,3]]) == 1), name='demand_%d' % (i))
   if CourseFeature[i,5]== "f":
      for s in JointCourseListIndex:
         if JointCourseList[s,1] == "f":
            m.addConstr(((CourseVar[i,JointCourseList[s,2],JointCourseList[s,3]]) == 1), name='demand_%d' % (i))
m.Params.timeLimit = 10800.0
m.Params.MIPGAP = 0.25
m.optimize()
def printSolution():
   if m.status == GRB.status.OPTIMAL:
        print '\n  SolverResult:', m.objVal
        print '\n  Examvar:'
        for i in Courses:
            for d in Days:
              for t in TimeInterval:
                  if CourseVar[i,d,t].x &gt; 0.01:
                      print 'Z(%d.%d.%d)' % (i,d,t), CourseVar[i,d,t].x
                      #print 'P(%d.%d.%d.%d)' % (i,j,d,t), Population[i,j,d,t].x
                  #CourseVar[i,d,t]=CourseVar[i,d,t].x
   else:
        print 'No solution'
#printSolution()
for d in Days:
   for t in TimeInterval:
      SubModels[(d,t)].setObjective(quicksum([ExamVar[i,j,d,t]*100 for i in Courses for  j in Classrooms])\
+quicksum([Derslik[j,d,t] for j in Classrooms])\
#+quicksum([ExamVar[i,j,d,t]*j*2 for i in Courses for j in Classrooms for d in Days for t in TimeInterval])\
#+100*quicksum([dev3[s,i1,i2,i3,d] for s in range(len(SchoolX)) for i1 in range(len(SchoolX[s])) for i2 in range(i1+1,len(SchoolX[s])) for i3 in range(i2+1,len(SchoolX[s])) for d in Days ])
)
for d in Days:
   for t in TimeInterval:
      # Constraint Sub.1 Lab dersleri labda
      for i in ClassroomCourses:
         SubModels[(d,t)].addConstr((quicksum(ExamVar[i,j,d,t] for j in LabClassroom)==0), name='demand_%d' % (i))
      for i in LaboratoryCourses:
         SubModels[(d,t)].addConstr((quicksum(ExamVar[i,j,d,t] for j in Classroom)==0), name='demand_%d' % (i))
      # Constraint Sub.2 Connection of X and Y
      for j in Classrooms:   
         SubModels[(d,t)].addConstr((Derslik[j,d,t] &lt;= quicksum(ExamVar[i,j,d,t] for i in Courses)), name='demand_%d' % (i))
         SubModels[(d,t)].addConstr((quicksum(ExamVar[i,j,d,t] for i in Courses) &lt;= 35*Derslik[j,d,t] ), name='demand_%d' % (i))
      # Constraint Sub.3 Connection of X and Z
      for i in ClassroomCourses:
         SubModels[(d,t)].addConstr((quicksum(ExamVar[i,j,d,t] for j in Classroom) &lt;= 11*CourseVar[i,d,t].x), name='demand_%d' % (i))
         SubModels[(d,t)].addConstr((CourseVar[i,d,t].x &lt;= quicksum(ExamVar[i,j,d,t] for j in Classroom)), name='demand_%d' % (i))
      for i in LaboratoryCourses:
         SubModels[(d,t)].addConstr((quicksum(ExamVar[i,j,d,t] for j in LabClassroom) &lt;= 4*CourseVar[i,d,t].x), name='demand_%d' % (i))
         SubModels[(d,t)].addConstr((CourseVar[i,d,t].x &lt;= quicksum(ExamVar[i,j,d,t] for j in LabClassroom)), name='demand_%d' % (i))
            #Constarint Sub.4 Population variable (P) assignment
      for i in Courses:
         SubModels[(d,t)].addConstr((quicksum(Population[i,j,d,t] for j in Classrooms  ) == (capacityofcourses[i,2]*CourseVar[i,d,t].x)), name='demand_%d' % (i))
      #Constraint Sub.4.2 Connection of X and P
      for j in Classrooms:
         SubModels[(d,t)].addConstr((quicksum(Population[i,j,d,t] for i in Courses) &lt;= capacityofclass[j,1] ), name='demand_%d' % (i))
         for i in Courses:
            SubModels[(d,t)].addConstr((ExamVar[i,j,d,t] &lt;= Population[i,j,d,t]), name='demand_%d' % (i))
            SubModels[(d,t)].addConstr((Population[i,j,d,t] &lt;= ExamVar[i,j,d,t]*capacityofclass[j,1]), name='demand_%d' % (i))
for d in Days:
   for t in TimeInterval:
      SubModels[(d,t)].optimize()
NumberOfOptimals = 0      
for d in Days:
   for t in TimeInterval:
      if SubModels[(d,t)].status == GRB.status.OPTIMAL:
         NumberOfOptimals += 1
         print(d,t,"Optimal")
print("NumberOfOptimals",NumberOfOptimals)
#we print in a one table 
for d in Days:
   for t in TimeInterval:
      TempStr = ''
      TempClass = ''
      for j in Classrooms:
         Temp = 0
         TempClass =""
         for i in Courses:
            if ExamVar[i,j,d,t].x&gt;0:
               TempClass = TempClass + "   " + CourseName[1,i] +" " + str(round(Population[i,j,d,t].x))+ "\n"
               Temp = ExamVar[i,j,d,t].x + Temp
         if Temp &gt; 0.01:
            TempStr = TempStr +ClassList[j,0] + "\n" + TempClass + "\n"
      #print(TempStr)
      LastTable[t,d] = TempStr
for d in Days:
   for t in TimeInterval:
      TempStr = ''
      for i in Courses:
         if ExamVar[i,1,d,t].x &gt; 0.0001:
            TempStr = TempStr + CourseName[1,i] + "\n"
      Z03TABLE[d,t] = TempStr
      TempStr = ''
      for i in Courses:
         if ExamVar[i,2,d,t].x &gt; 0.0001 :
            TempStr = TempStr + CourseName[1,i] + "\n"
      Z04TABLE[d,t] = TempStr
      TempStr = ''
      for i in Courses:
         if ExamVar[i,3,d,t].x &gt; 0.0001 :
            TempStr = TempStr + CourseName[1,i] + "\n"
      Z05TABLE[d,t] = TempStr
      TempStr = ''
      for i in Courses:
         if ExamVar[i,4,d,t].x &gt; 0.0001 :
            TempStr = TempStr + CourseName[1,i] + "\n"
      Z06TABLE[d,t] = TempStr
      TempStr = ''
      for i in Courses:
         if ExamVar[i,5,d,t].x &gt; 0.0001 :
            TempStr = TempStr + CourseName[1,i] + "\n"
      Z07TABLE[d,t] = TempStr
      TempStr = ''
      for i in Courses:
         if ExamVar[i,6,d,t].x &gt; 0.0001 :
            TempStr = TempStr + CourseName[1,i] + "\n"
      A102TABLE[d,t] = TempStr
      TempStr = ''
      for i in Courses:
         if ExamVar[i,7,d,t].x &gt; 0.0001 :
            TempStr = TempStr + CourseName[1,i] + "\n"
      A103TABLE[d,t] = TempStr
      TempStr = ''
      for i in Courses:
         if ExamVar[i,8,d,t].x &gt; 0.0001 :
            TempStr = TempStr + CourseName[1,i] + "\n"
      A104TABLE[d,t] = TempStr
      TempStr = ''
      for i in Courses:
         if ExamVar[i,9,d,t].x &gt; 0.0001 :
            TempStr = TempStr + CourseName[1,i] + "\n"
      A105TABLE[d,t] = TempStr
      TempStr = ''
      for i in Courses:
         if ExamVar[i,10,d,t].x &gt; 0.0001:
            TempStr = TempStr + CourseName[1,i] + "\n"
      A106TABLE[d,t] = TempStr
      TempStr = ''
      for i in Courses:
         if ExamVar[i,11,d,t].x &gt; 0.0001 :
            TempStr = TempStr + CourseName[1,i] + "\n"
      A107TABLE[d,t] = TempStr
      TempStr = ''
      for i in Courses:
         if ExamVar[i,12,d,t].x &gt; 0.0001 :
            TempStr = TempStr + CourseName[1,i] + "\n"
      LAB1TABLE[d,t] = TempStr
      TempStr = ''
      for i in Courses:
         if ExamVar[i,13,d,t].x &gt; 0.0001 :
            TempStr = TempStr + CourseName[1,i] + "\n"
      LAB2TABLE[d,t] = TempStr
      TempStr = ''
      for i in Courses:
         if ExamVar[i,14,d,t].x &gt; 0.0001 :
            TempStr = TempStr + CourseName[1,i] + "\n"
      LAB3TABLE[d,t] = TempStr
      TempStr = ''
      for i in Courses:
         if ExamVar[i,15,d,t].x &gt; 0.0001 :
            TempStr = TempStr + CourseName[1,i] + "\n"
      LAB4TABLE[d,t] = TempStr</FileText>
      <ParentWorksheetName>input</ParentWorksheetName>
    </StoredFile>
    <StoredFile>
      <FileName>Untitled</FileName>
      <LanguageName>PuLP</LanguageName>
      <ModelPaneVisible>false</ModelPaneVisible>
      <ModelSettings/>
      <FileText/>
      <ParentWorksheetName>output</ParentWorksheetName>
    </StoredFile>
    <StoredFile>
      <FileName>Untitled</FileName>
      <LanguageName>PuLP</LanguageName>
      <ModelPaneVisible>false</ModelPaneVisible>
      <ModelSettings/>
      <FileText/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*</ParentWorksheetName>
    </StoredFile>
    <StoredFile>
      <FileName>Untitled</FileName>
      <LanguageName>PuLP</LanguageName>
      <ModelPaneVisible>false</ModelPaneVisible>
      <ModelSettings/>
      <FileText/>
      <ParentWorksheetName>sınav programı</ParentWorksheetName>
    </StoredFile>
    <StoredFile>
      <FileName>Untitled</FileName>
      <LanguageName>PuLP</LanguageName>
      <ModelPaneVisible>false</ModelPaneVisible>
      <ModelSettings/>
      <FileText/>
      <ParentWorksheetName>output2</ParentWorksheetName>
    </StoredFile>
    <StoredFile>
      <FileName>Untitled</FileName>
      <LanguageName>GurobiPython</LanguageName>
      <ModelPaneVisible>true</ModelPaneVisible>
      <ModelSettings/>
      <FileText>#assistant assignmnet
#19.01.2020
import os, sys
from gurobipy import * 
from SolverStudio import *
m = Model("IU_AssistantScheduling")
#variable definition
AssignVar = {}
for i in Asistants:
   for j in Classroom:
      for d in Days:
         for t in TimeInterval:
            AssignVar[i,j,d,t] = m.addVar(obj=100, vtype=GRB.BINARY, name = '%d.%d.%d.%d' % (i,j,d,t))
DevVar1 = {}
DevVar2 = {}
for i in Asistants:
   for j in Classroom:
      for d in Days:
         for t in TimeInterval:
            DevVar1[i,j,d,t] = m.addVar(obj=100, vtype=GRB.BINARY, name = '%d.%d.%d.%d' % (i,j,d,t))
            DevVar2[i,j,d,t] = m.addVar(obj=100, vtype=GRB.BINARY, name = '%d.%d.%d.%d' % (i,j,d,t))
Dev1 = {}
for r in InstructorCourseIndex:
   Dev1[r]= m.addVar(obj=100, vtype=GRB.CONTINUOUS, ub = 1, name = '%d.%d.%d.%d' % (i,j,d,t))
m.update()
#objective function should be here
m.setObjective(quicksum([DevVar1[i,j,d,t]*10 for i in Asistants for  j in Classroom for d in Days for t in TimeInterval])\
+quicksum([DevVar2[i,j,d,t]*10 for i in Asistants for  j in Classroom for d in Days for t in TimeInterval])\
)
m.modelSense = GRB.MINIMIZE
###### Constraints ######
#Constraint 1
# two asistants should be in the exam
for d in Days:
   for t in TimeInterval:
      if Z03[t,d] &gt; 0:
         m.addConstr((quicksum(AssignVar[i,1,d,t] for i in Asistants) == 2), name='demand_%d' % (i))
      if Z04[t,d] &gt; 0:
         m.addConstr((quicksum(AssignVar[i,2,d,t] for i in Asistants) == 2), name='demand_%d' % (i))
      if Z05[t,d] &gt; 0:
         m.addConstr((quicksum(AssignVar[i,3,d,t] for i in Asistants) == 2), name='demand_%d' % (i))
      if Z06[t,d] &gt; 0:
         m.addConstr((quicksum(AssignVar[i,4,d,t] for i in Asistants) == 2), name='demand_%d' % (i))
      if Z07[t,d] &gt; 0:
         m.addConstr((quicksum(AssignVar[i,5,d,t] for i in Asistants) == 2), name='demand_%d' % (i))
      if A102[t,d] &gt; 0:
         m.addConstr((quicksum(AssignVar[i,6,d,t] for i in Asistants) == 2), name='demand_%d' % (i))
      if A103[t,d] &gt; 0:
         m.addConstr((quicksum(AssignVar[i,7,d,t] for i in Asistants) == 2), name='demand_%d' % (i))
      if A104[t,d] &gt; 0:
         m.addConstr((quicksum(AssignVar[i,8,d,t] for i in Asistants) == 2), name='demand_%d' % (i))
      if A105[t,d] &gt; 0:
         m.addConstr((quicksum(AssignVar[i,9,d,t] for i in Asistants) == 2), name='demand_%d' % (i))
      if A106[t,d] &gt; 0:
         m.addConstr((quicksum(AssignVar[i,10,d,t] for i in Asistants) == 2), name='demand_%d' % (i))
      if A107[t,d] &gt; 0:
         m.addConstr((quicksum(AssignVar[i,11,d,t] for i in Asistants) == 2), name='demand_%d' % (i))
      if LAB1[t,d] &gt; 0:
         m.addConstr((quicksum(AssignVar[i,12,d,t] for i in Asistants) == 2), name='demand_%d' % (i))
      if LAB2[t,d] &gt; 0:
         m.addConstr((quicksum(AssignVar[i,13,d,t] for i in Asistants) == 2), name='demand_%d' % (i))
      if LAB3[t,d] &gt; 0:
         m.addConstr((quicksum(AssignVar[i,14,d,t] for i in Asistants) == 2), name='demand_%d' % (i))
      if LAB4[t,d] &gt; 0:
         m.addConstr((quicksum(AssignVar[i,15,d,t] for i in Asistants) == 2), name='demand_%d' % (i))
# every asistant should be one classroom at specific time
for i in Asistants:
   for d in Days:
      for t in TimeInterval:
         m.addConstr((quicksum(AssignVar[i,j,d,t] for j in Classroom) &lt;= 1), name='demand_%d' % (i))
#total assignments
for i in Asistants:
   m.addConstr((quicksum(AssignVar[i,j,d,t] for j in Classroom for d in Days for t in TimeInterval) &lt;= TotalAssignment[i,3]), name='demand_%d' % (i))
# undesired days
for i in Asistants:
   for d in Days:
      if (UndesiredDays[i,d] == 1):
         m.addConstr((quicksum(AssignVar[i,j,d,t] for j in Classroom for t in TimeInterval) == 0), name='demand_%d' % (i))
Senior = ()
Junior = ()
for i in Asistants:
   if Seniority[i,2] == 1 :
      Junior = Junior + (i,)
   elif Seniority[i,2] == 2:
      Senior = Senior + (i,)
'''
#print Senior
#print Junior
#if the asistan is senior, then it should not be be consecutive exams
for i in Senior:
   for d in Days:
      for t in TimeInterval:
         if (t+1) in TimeInterval:
            m.addConstr((AssignVar[i,j,d,t] + AssignVar[i,j,d,t+1] &lt;= 1 + DevVar1[i,j,d,t] + DevVar2[i,j,d,t+1]), name='demand_%d' % (i))
#m.addConstr((AssignVar[1,1,4,2] == 1), name='demand_%d' % (i))
'''
#02.02.2020
# bu kisit icin tekrar degisken tanimlayacagim
#bu kisitin en kolay yolu modeli sayisal olarak da yazdirip buradaki dgerleri oradan okumak
#gozetmenin o saatte orada olmasi guzel olur.
for r in InstructorCourseIndex:
   m.addConstr((quicksum(AssignVar[InstructorCourse[r,1],j,ExamOutput[InstructorCourse[r,2],1],ExamOutput[InstructorCourse[r,2],2]] for j in Classroom) &lt;= 1 - Dev1[r]), name='demand_%d' % (i))
'''
# bu kisit icin tekrar degisken tanimlayacagim
#bu kisitin en kolay yolu modeli sayisal olarak da yazdirip buradaki dgerleri oradan okumak
for r in InstructorCourseIndex:
   m.addConstr((AssignVar[InstructorCourse[r,1],1,ExamOutput[InstructorCourse[r,2],1],ExamOutput[InstructorCourse[r,2],2]] == 1), name='demand_%d' % (i))
#ustteki kisitin uzun versiyonu
for r in InstructorCourseIndex:
   for k in ExamOutputIndex:
      if InstructorCourse[r,2] == k:
         m.addConstr((AssignVar[InstructorCourse[r,1],1,ExamOutput[k,1],ExamOutput[k,2]] == 1), name='demand_%d' % (i))
         print (InstructorCourse[r,2], k, ExamOutput[k,1],ExamOutput[k,2]) 
#instructor-course match
#01.02.2020
for d in Days:
   for t in TimeInterval:
      for i in Asistants:
         print ("Ebru", "burayi yazdirabiliyorum")
         for r in InstructorCourseIndex:
            if (Z03[t,d] == CourseName[91,1]) and (InstructorCourse[r,1] == i):
               #CourseName[InstructorCourse[r,2],1]
               #print ("Ebru", Z03[t,d],CourseName[InstructorCourse[r,2],1],InstructorCourse[r,1])
               m.addConstr((AssignVar[i,1,d,t]  == 1), name='demand_%d' % (i))
for r in InstructorCourseIndex:
   for i in Asistants:
      if (InstructorCourse[r,1] == i):
         print ("Ebru", InstructorCourse[r,1],i)
         for d in Days:
            for t in TimeInterval:
               print ("ebru",Z03[t,d])
               if (Z03[t,d] == CourseName[InstructorCourse[r,2],1]):
                  print ("Ebru", Z03[t,d],CourseName[InstructorCourse[r,2],1],InstructorCourse[r,1])
                  m.addConstr((AssignVar[i,1,d,t]  == 1), name='demand_%d' % (i))
'''
def printSolution():
   if m.status == GRB.status.OPTIMAL:
        print '\n  SolverResult:', m.objVal
        print '\n  AssignVar:'
        for i in Asistants:
            for j in Classroom:
               for d in Days:
                 for t in TimeInterval:
                     if AssignVar[i,j,d,t].x &gt; 0.01:
                         print 'X(%d.%d.%d.%d)' % (i,j,d,t), AssignVar[i,j,d,t].x
                         print (i,len(str(AssignVar[i,j,d,t].x)))
                     AssignVar[i,j,d,t]=AssignVar[i,j,d,t].x
   else:
        print 'No solution'
m.Params.timeLimit = 3600.0
m.Params.MIPGAP = 0.001
m.optimize()
printSolution()
#class1
for d in Days:
   for t in TimeInterval:
      TempStr = ''
      for i in Asistants:
         if AssignVar[i,1,d,t] &gt; 0.0001:
            TempStr = TempStr + AsistantsName[i,1] + "\n"
      AsistantZ03[t,d] = TempStr
#class2
for d in Days:
   for t in TimeInterval:
      TempStr = ''
      for i in Asistants:
         if AssignVar[i,2,d,t] &gt; 0.0001:
            TempStr = TempStr + AsistantsName[i,1] + "\n"
      AsistantZ04[t,d] = TempStr
#class3
for d in Days:
   for t in TimeInterval:
      TempStr = ''
      for i in Asistants:
         if AssignVar[i,3,d,t] &gt; 0.0001:
            TempStr = TempStr + AsistantsName[i,1] + "\n"
      AsistantZ05[t,d] = TempStr
#class4
for d in Days:
   for t in TimeInterval:
      TempStr = ''
      for i in Asistants:
         if AssignVar[i,4,d,t] &gt; 0.0001:
            TempStr = TempStr + AsistantsName[i,1] + "\n"
      AsistantZ06[t,d] = TempStr
#class5
for d in Days:
   for t in TimeInterval:
      TempStr = ''
      for i in Asistants:
         if AssignVar[i,5,d,t] &gt; 0.0001:
            TempStr = TempStr + AsistantsName[i,1] + "\n"
      AsistantZ07[t,d] = TempStr
#class6
for d in Days:
   for t in TimeInterval:
      TempStr = ''
      for i in Asistants:
         if AssignVar[i,6,d,t] &gt; 0.0001:
            TempStr = TempStr + AsistantsName[i,1] + "\n"
      AsistantA102[t,d] = TempStr      
#class7
for d in Days:
   for t in TimeInterval:
      TempStr = ''
      for i in Asistants:
         if AssignVar[i,7,d,t] &gt; 0.0001:
            TempStr = TempStr + AsistantsName[i,1] + "\n"
      AsistantA103[t,d] = TempStr      
#class8
for d in Days:
   for t in TimeInterval:
      TempStr = ''
      for i in Asistants:
         if AssignVar[i,8,d,t] &gt; 0.0001:
            TempStr = TempStr + AsistantsName[i,1] + "\n"
      AsistantA104[t,d] = TempStr      
#class9
for d in Days:
   for t in TimeInterval:
      TempStr = ''
      for i in Asistants:
         if AssignVar[i,9,d,t] &gt; 0.0001:
            TempStr = TempStr + AsistantsName[i,1] + "\n"
      AsistantA105[t,d] = TempStr      
#class10
for d in Days:
   for t in TimeInterval:
      TempStr = ''
      for i in Asistants:
         if AssignVar[i,10,d,t] &gt; 0.0001:
            TempStr = TempStr + AsistantsName[i,1] + "\n"
      AsistantA106[t,d] = TempStr      
#class11
for d in Days:
   for t in TimeInterval:
      TempStr = ''
      for i in Asistants:
         if AssignVar[i,11,d,t] &gt; 0.0001:
            TempStr = TempStr + AsistantsName[i,1] + "\n"
      AsistantA107[t,d] = TempStr      
#class12
for d in Days:
   for t in TimeInterval:
      TempStr = ''
      for i in Asistants:
         if AssignVar[i,12,d,t] &gt; 0.0001:
            TempStr = TempStr + AsistantsName[i,1] + "\n"
      AsistantLab1[t,d] = TempStr      
#class13
for d in Days:
   for t in TimeInterval:
      TempStr = ''
      for i in Asistants:
         if AssignVar[i,13,d,t] &gt; 0.0001:
            TempStr = TempStr + AsistantsName[i,1] + "\n"
      AsistantLab2[t,d] = TempStr  
#class14
for d in Days:
   for t in TimeInterval:
      TempStr = ''
      for i in Asistants:
         if AssignVar[i,14,d,t] &gt; 0.0001:
            TempStr = TempStr + AsistantsName[i,1] + "\n"
      AsistantLab3[t,d] = TempStr      
#class15
for d in Days:
   for t in TimeInterval:
      TempStr = ''
      for i in Asistants:
         if AssignVar[i,15,d,t] &gt; 0.0001:
            TempStr = TempStr + AsistantsName[i,1] + "\n"
      AsistantLab4[t,d] = TempStr  
#we print in a one table 
for d in Days:
   for t in TimeInterval:
      TempStr = ''
      TempClass = ''
      for j in Classroom:
         Temp = 0
         TempClass =""
         for i in Asistants:
            #print (i,j,d,t, AssignVar[i,j,d,t])
            if AssignVar[i,j,d,t] &gt;0.01:
               TempClass = TempClass  + "   "  + AsistantsName[i,1] +"\n" 
               Temp = AssignVar[i,j,d,t] + Temp
         #print("TEMP",Temp)
         if Temp &gt; 0.01:
            TempStr = TempStr + ClassroomName[j,1] + "\n" + TempClass + "\n"
      #print(TempStr)
      GozetmenToplu[t,d] = TempStr
</FileText>
      <ParentWorksheetName>asistan</ParentWorksheetName>
    </StoredFile>
    <StoredFile>
      <FileName>Untitled</FileName>
      <LanguageName>PuLP</LanguageName>
      <ModelPaneVisible>false</ModelPaneVisible>
      <ModelSettings/>
      <FileText/>
      <ParentWorksheetName>Sheet1</ParentWorksheetName>
    </StoredFile>
    <StoredFile>
      <FileName>Untitled</FileName>
      <LanguageName>PuLP</LanguageName>
      <ModelPaneVisible>false</ModelPaneVisible>
      <ModelSettings/>
      <FileText/>
      <ParentWorksheetName>Last</ParentWorksheetName>
    </StoredFile>
    <StoredFile>
      <FileName>Untitled</FileName>
      <LanguageName>PuLP</LanguageName>
      <ModelPaneVisible>false</ModelPaneVisible>
      <ModelSettings/>
      <FileText/>
      <ParentWorksheetName>Sheet2</ParentWorksheetName>
    </StoredFile>
  </StoredFiles>
</StoredFilesList>
</file>

<file path=customXml/itemProps1.xml><?xml version="1.0" encoding="utf-8"?>
<ds:datastoreItem xmlns:ds="http://schemas.openxmlformats.org/officeDocument/2006/customXml" ds:itemID="{2D4BF67B-E071-4E10-98C5-C8FD8F4F2025}">
  <ds:schemaRefs>
    <ds:schemaRef ds:uri="http://www.w3.org/2001/XMLSchema"/>
    <ds:schemaRef ds:uri="http://opensolver.org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74</vt:i4>
      </vt:variant>
    </vt:vector>
  </HeadingPairs>
  <TitlesOfParts>
    <vt:vector size="80" baseType="lpstr">
      <vt:lpstr>input</vt:lpstr>
      <vt:lpstr>asistan</vt:lpstr>
      <vt:lpstr>course_table</vt:lpstr>
      <vt:lpstr>assistant_table</vt:lpstr>
      <vt:lpstr>classroom_table</vt:lpstr>
      <vt:lpstr>same_time_course_table</vt:lpstr>
      <vt:lpstr>asistan!Asistants</vt:lpstr>
      <vt:lpstr>asistan!AsistantsName</vt:lpstr>
      <vt:lpstr>asistan!AsistantsSeniority</vt:lpstr>
      <vt:lpstr>input!BANKA1</vt:lpstr>
      <vt:lpstr>input!BANKA2</vt:lpstr>
      <vt:lpstr>input!capacityofclass</vt:lpstr>
      <vt:lpstr>input!capacityofcourses</vt:lpstr>
      <vt:lpstr>input!ClassList</vt:lpstr>
      <vt:lpstr>asistan!Classroom</vt:lpstr>
      <vt:lpstr>input!Classroom</vt:lpstr>
      <vt:lpstr>asistan!ClassroomName</vt:lpstr>
      <vt:lpstr>input!Classrooms</vt:lpstr>
      <vt:lpstr>input!cost1</vt:lpstr>
      <vt:lpstr>input!cost10</vt:lpstr>
      <vt:lpstr>input!cost11</vt:lpstr>
      <vt:lpstr>input!cost12</vt:lpstr>
      <vt:lpstr>input!cost13</vt:lpstr>
      <vt:lpstr>input!cost14</vt:lpstr>
      <vt:lpstr>input!cost2</vt:lpstr>
      <vt:lpstr>input!cost3</vt:lpstr>
      <vt:lpstr>input!cost4</vt:lpstr>
      <vt:lpstr>input!cost5</vt:lpstr>
      <vt:lpstr>input!cost6</vt:lpstr>
      <vt:lpstr>input!cost7</vt:lpstr>
      <vt:lpstr>input!cost8</vt:lpstr>
      <vt:lpstr>input!cost9</vt:lpstr>
      <vt:lpstr>input!CourseFeature</vt:lpstr>
      <vt:lpstr>asistan!CourseHour</vt:lpstr>
      <vt:lpstr>asistan!CourseName</vt:lpstr>
      <vt:lpstr>input!CourseName</vt:lpstr>
      <vt:lpstr>asistan!Courses</vt:lpstr>
      <vt:lpstr>input!Courses</vt:lpstr>
      <vt:lpstr>asistan!Days</vt:lpstr>
      <vt:lpstr>input!Days</vt:lpstr>
      <vt:lpstr>asistan!DesiredDays</vt:lpstr>
      <vt:lpstr>input!DISTICARET1</vt:lpstr>
      <vt:lpstr>input!DISTICARET2</vt:lpstr>
      <vt:lpstr>input!EMLAK1</vt:lpstr>
      <vt:lpstr>input!EMLAK2</vt:lpstr>
      <vt:lpstr>asistan!Exam</vt:lpstr>
      <vt:lpstr>asistan!ExamIndex</vt:lpstr>
      <vt:lpstr>asistan!ExamOutput</vt:lpstr>
      <vt:lpstr>input!ExamOutput</vt:lpstr>
      <vt:lpstr>asistan!ExamOutputIndex</vt:lpstr>
      <vt:lpstr>input!Exception</vt:lpstr>
      <vt:lpstr>input!ExceptionArray1</vt:lpstr>
      <vt:lpstr>input!ExceptionArray2</vt:lpstr>
      <vt:lpstr>input!ExceptionIndex</vt:lpstr>
      <vt:lpstr>asistan!InstructorCourse</vt:lpstr>
      <vt:lpstr>asistan!InstructorCourseIndex</vt:lpstr>
      <vt:lpstr>input!ISLETME1</vt:lpstr>
      <vt:lpstr>input!ISLETME2</vt:lpstr>
      <vt:lpstr>input!JointCourseList</vt:lpstr>
      <vt:lpstr>input!JointCourseListIndex</vt:lpstr>
      <vt:lpstr>input!LabClassroom</vt:lpstr>
      <vt:lpstr>input!MUHASEBE1</vt:lpstr>
      <vt:lpstr>input!MUHASEBE2</vt:lpstr>
      <vt:lpstr>input!PAZARLAMA1</vt:lpstr>
      <vt:lpstr>input!PAZARLAMA2</vt:lpstr>
      <vt:lpstr>input!Print_Area</vt:lpstr>
      <vt:lpstr>input!SameTimeCoursesArray1</vt:lpstr>
      <vt:lpstr>input!SameTimeCoursesArray2</vt:lpstr>
      <vt:lpstr>input!SameTimeList</vt:lpstr>
      <vt:lpstr>input!SameTimeListIndex</vt:lpstr>
      <vt:lpstr>input!School</vt:lpstr>
      <vt:lpstr>asistan!Seniority</vt:lpstr>
      <vt:lpstr>asistan!TimeInterval</vt:lpstr>
      <vt:lpstr>input!TimeInterval</vt:lpstr>
      <vt:lpstr>input!TimeInterval2</vt:lpstr>
      <vt:lpstr>asistan!Total</vt:lpstr>
      <vt:lpstr>asistan!TotalAssignment</vt:lpstr>
      <vt:lpstr>input!TURIZM1</vt:lpstr>
      <vt:lpstr>input!TURIZM2</vt:lpstr>
      <vt:lpstr>asistan!UndesiredDays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Buğra</dc:creator>
  <cp:lastModifiedBy>Koroglu, Tugce, Vodafone Turkey</cp:lastModifiedBy>
  <cp:lastPrinted>2018-12-20T19:41:03Z</cp:lastPrinted>
  <dcterms:created xsi:type="dcterms:W3CDTF">2018-07-14T13:33:13Z</dcterms:created>
  <dcterms:modified xsi:type="dcterms:W3CDTF">2020-05-17T08:39:00Z</dcterms:modified>
</cp:coreProperties>
</file>