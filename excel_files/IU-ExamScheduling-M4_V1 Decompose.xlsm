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User\Desktop\IU Website\Dosyalar\"/>
    </mc:Choice>
  </mc:AlternateContent>
  <xr:revisionPtr revIDLastSave="0" documentId="13_ncr:1_{FB7E31E7-B515-490A-9E0A-8DBF85B38087}" xr6:coauthVersionLast="45" xr6:coauthVersionMax="45" xr10:uidLastSave="{00000000-0000-0000-0000-000000000000}"/>
  <bookViews>
    <workbookView xWindow="-120" yWindow="-120" windowWidth="29040" windowHeight="15990" tabRatio="829" xr2:uid="{00000000-000D-0000-FFFF-FFFF00000000}"/>
  </bookViews>
  <sheets>
    <sheet name="input" sheetId="1" r:id="rId1"/>
    <sheet name="Last" sheetId="9" r:id="rId2"/>
    <sheet name="output" sheetId="2" r:id="rId3"/>
    <sheet name="output2" sheetId="5" r:id="rId4"/>
    <sheet name="asistan" sheetId="6" r:id="rId5"/>
    <sheet name="Sheet1" sheetId="7" r:id="rId6"/>
    <sheet name="Sheet2" sheetId="10" r:id="rId7"/>
    <sheet name="sınav programı" sheetId="3" r:id="rId8"/>
  </sheets>
  <definedNames>
    <definedName name="_xlnm._FilterDatabase" localSheetId="0" hidden="1">input!#REF!</definedName>
    <definedName name="A102." localSheetId="4">output!$N$49:$W$66</definedName>
    <definedName name="A102.badindex" localSheetId="4" hidden="1">1</definedName>
    <definedName name="A102.columnindex" localSheetId="4" hidden="1">output!$N$48:$W$48</definedName>
    <definedName name="A102.columnindex.dirn" localSheetId="4" hidden="1">"column"</definedName>
    <definedName name="A102.firstindex" localSheetId="4" hidden="1">"row"</definedName>
    <definedName name="A102.rowindex" localSheetId="4" hidden="1">output!$M$49:$M$66</definedName>
    <definedName name="A102.rowindex.dirn" localSheetId="4" hidden="1">"row"</definedName>
    <definedName name="A102DAYS" localSheetId="0">output!$N$48:$W$48</definedName>
    <definedName name="A102DAYS.dirn" localSheetId="0" hidden="1">"column"</definedName>
    <definedName name="A102TABLE" localSheetId="0">output!$N$49:$W$66</definedName>
    <definedName name="A102TABLE.badindex" localSheetId="0" hidden="1">1</definedName>
    <definedName name="A102TABLE.columnindex" localSheetId="0" hidden="1">output!$N$48:$W$48</definedName>
    <definedName name="A102TABLE.columnindex.dirn" localSheetId="0" hidden="1">"column"</definedName>
    <definedName name="A102TABLE.firstindex" localSheetId="0" hidden="1">"column"</definedName>
    <definedName name="A102TABLE.rowindex" localSheetId="0" hidden="1">output!$M$49:$M$66</definedName>
    <definedName name="A102TABLE.rowindex.dirn" localSheetId="0" hidden="1">"row"</definedName>
    <definedName name="A102TIMEINTERVAL" localSheetId="0">output!$M$49:$M$66</definedName>
    <definedName name="A102TIMEINTERVAL.dirn" localSheetId="0" hidden="1">"row"</definedName>
    <definedName name="A103." localSheetId="4">output!$B$71:$K$88</definedName>
    <definedName name="A103.badindex" localSheetId="4" hidden="1">1</definedName>
    <definedName name="A103.columnindex" localSheetId="4" hidden="1">output!$B$70:$K$70</definedName>
    <definedName name="A103.columnindex.dirn" localSheetId="4" hidden="1">"column"</definedName>
    <definedName name="A103.firstindex" localSheetId="4" hidden="1">"row"</definedName>
    <definedName name="A103.rowindex" localSheetId="4" hidden="1">output!$A$71:$A$88</definedName>
    <definedName name="A103.rowindex.dirn" localSheetId="4" hidden="1">"row"</definedName>
    <definedName name="A103DAYS" localSheetId="0">output!$B$70:$K$70</definedName>
    <definedName name="A103DAYS.dirn" localSheetId="0" hidden="1">"column"</definedName>
    <definedName name="A103TABLE" localSheetId="0">output!$B$71:$K$88</definedName>
    <definedName name="A103TABLE.badindex" localSheetId="0" hidden="1">1</definedName>
    <definedName name="A103TABLE.columnindex" localSheetId="0" hidden="1">output!$B$70:$K$70</definedName>
    <definedName name="A103TABLE.columnindex.dirn" localSheetId="0" hidden="1">"column"</definedName>
    <definedName name="A103TABLE.firstindex" localSheetId="0" hidden="1">"column"</definedName>
    <definedName name="A103TABLE.rowindex" localSheetId="0" hidden="1">output!$A$71:$A$88</definedName>
    <definedName name="A103TABLE.rowindex.dirn" localSheetId="0" hidden="1">"row"</definedName>
    <definedName name="A103TIMEINTERVAL" localSheetId="0">output!$A$71:$A$88</definedName>
    <definedName name="A103TIMEINTERVAL.dirn" localSheetId="0" hidden="1">"row"</definedName>
    <definedName name="A104." localSheetId="4">output!$N$71:$W$88</definedName>
    <definedName name="A104.badindex" localSheetId="4" hidden="1">1</definedName>
    <definedName name="A104.columnindex" localSheetId="4" hidden="1">output!$N$70:$W$70</definedName>
    <definedName name="A104.columnindex.dirn" localSheetId="4" hidden="1">"column"</definedName>
    <definedName name="A104.firstindex" localSheetId="4" hidden="1">"row"</definedName>
    <definedName name="A104.rowindex" localSheetId="4" hidden="1">output!$M$71:$M$88</definedName>
    <definedName name="A104.rowindex.dirn" localSheetId="4" hidden="1">"row"</definedName>
    <definedName name="A104DAYS" localSheetId="0">output!$N$70:$W$70</definedName>
    <definedName name="A104DAYS.dirn" localSheetId="0" hidden="1">"column"</definedName>
    <definedName name="A104TABLE" localSheetId="0">output!$N$71:$W$88</definedName>
    <definedName name="A104TABLE.badindex" localSheetId="0" hidden="1">1</definedName>
    <definedName name="A104TABLE.columnindex" localSheetId="0" hidden="1">output!$N$70:$W$70</definedName>
    <definedName name="A104TABLE.columnindex.dirn" localSheetId="0" hidden="1">"column"</definedName>
    <definedName name="A104TABLE.firstindex" localSheetId="0" hidden="1">"column"</definedName>
    <definedName name="A104TABLE.rowindex" localSheetId="0" hidden="1">output!$M$71:$M$88</definedName>
    <definedName name="A104TABLE.rowindex.dirn" localSheetId="0" hidden="1">"row"</definedName>
    <definedName name="A104TIMEINTERVAL" localSheetId="0">output!$M$71:$M$88</definedName>
    <definedName name="A104TIMEINTERVAL.dirn" localSheetId="0" hidden="1">"row"</definedName>
    <definedName name="A105." localSheetId="4">output!$B$94:$K$111</definedName>
    <definedName name="A105.badindex" localSheetId="4" hidden="1">1</definedName>
    <definedName name="A105.columnindex" localSheetId="4" hidden="1">output!$B$93:$K$93</definedName>
    <definedName name="A105.columnindex.dirn" localSheetId="4" hidden="1">"column"</definedName>
    <definedName name="A105.firstindex" localSheetId="4" hidden="1">"row"</definedName>
    <definedName name="A105.rowindex" localSheetId="4" hidden="1">output!$A$94:$A$111</definedName>
    <definedName name="A105.rowindex.dirn" localSheetId="4" hidden="1">"row"</definedName>
    <definedName name="A105DAYS" localSheetId="0">output!$B$93:$K$93</definedName>
    <definedName name="A105DAYS.dirn" localSheetId="0" hidden="1">"column"</definedName>
    <definedName name="A105TABLE" localSheetId="0">output!$B$94:$K$111</definedName>
    <definedName name="A105TABLE.badindex" localSheetId="0" hidden="1">1</definedName>
    <definedName name="A105TABLE.columnindex" localSheetId="0" hidden="1">output!$B$93:$K$93</definedName>
    <definedName name="A105TABLE.columnindex.dirn" localSheetId="0" hidden="1">"column"</definedName>
    <definedName name="A105TABLE.firstindex" localSheetId="0" hidden="1">"column"</definedName>
    <definedName name="A105TABLE.rowindex" localSheetId="0" hidden="1">output!$A$94:$A$111</definedName>
    <definedName name="A105TABLE.rowindex.dirn" localSheetId="0" hidden="1">"row"</definedName>
    <definedName name="A105TIMEINTERVAL" localSheetId="0">output!$A$94:$A$111</definedName>
    <definedName name="A105TIMEINTERVAL.dirn" localSheetId="0" hidden="1">"row"</definedName>
    <definedName name="A106." localSheetId="4">output!$N$94:$W$111</definedName>
    <definedName name="A106.badindex" localSheetId="4" hidden="1">1</definedName>
    <definedName name="A106.columnindex" localSheetId="4" hidden="1">output!$N$93:$W$93</definedName>
    <definedName name="A106.columnindex.dirn" localSheetId="4" hidden="1">"column"</definedName>
    <definedName name="A106.firstindex" localSheetId="4" hidden="1">"row"</definedName>
    <definedName name="A106.rowindex" localSheetId="4" hidden="1">output!$M$94:$M$111</definedName>
    <definedName name="A106.rowindex.dirn" localSheetId="4" hidden="1">"row"</definedName>
    <definedName name="A106DAYS" localSheetId="0">output!$N$93:$W$93</definedName>
    <definedName name="A106DAYS.dirn" localSheetId="0" hidden="1">"column"</definedName>
    <definedName name="A106TABLE" localSheetId="0">output!$N$94:$W$111</definedName>
    <definedName name="A106TABLE.badindex" localSheetId="0" hidden="1">1</definedName>
    <definedName name="A106TABLE.columnindex" localSheetId="0" hidden="1">output!$N$93:$W$93</definedName>
    <definedName name="A106TABLE.columnindex.dirn" localSheetId="0" hidden="1">"column"</definedName>
    <definedName name="A106TABLE.firstindex" localSheetId="0" hidden="1">"column"</definedName>
    <definedName name="A106TABLE.rowindex" localSheetId="0" hidden="1">output!$M$94:$M$111</definedName>
    <definedName name="A106TABLE.rowindex.dirn" localSheetId="0" hidden="1">"row"</definedName>
    <definedName name="A106TIMEINTERVAL" localSheetId="0">output!$M$94:$M$111</definedName>
    <definedName name="A106TIMEINTERVAL.dirn" localSheetId="0" hidden="1">"row"</definedName>
    <definedName name="A107." localSheetId="4">output!$B$116:$K$133</definedName>
    <definedName name="A107.badindex" localSheetId="4" hidden="1">1</definedName>
    <definedName name="A107.columnindex" localSheetId="4" hidden="1">output!$B$115:$K$115</definedName>
    <definedName name="A107.columnindex.dirn" localSheetId="4" hidden="1">"column"</definedName>
    <definedName name="A107.firstindex" localSheetId="4" hidden="1">"row"</definedName>
    <definedName name="A107.rowindex" localSheetId="4" hidden="1">output!$A$116:$A$133</definedName>
    <definedName name="A107.rowindex.dirn" localSheetId="4" hidden="1">"row"</definedName>
    <definedName name="A107DAYS" localSheetId="0">output!$B$115:$K$115</definedName>
    <definedName name="A107DAYS.dirn" localSheetId="0" hidden="1">"column"</definedName>
    <definedName name="A107TABLE" localSheetId="0">output!$B$116:$K$133</definedName>
    <definedName name="A107TABLE.badindex" localSheetId="0" hidden="1">1</definedName>
    <definedName name="A107TABLE.columnindex" localSheetId="0" hidden="1">output!$B$115:$K$115</definedName>
    <definedName name="A107TABLE.columnindex.dirn" localSheetId="0" hidden="1">"column"</definedName>
    <definedName name="A107TABLE.firstindex" localSheetId="0" hidden="1">"column"</definedName>
    <definedName name="A107TABLE.rowindex" localSheetId="0" hidden="1">output!$A$116:$A$133</definedName>
    <definedName name="A107TABLE.rowindex.dirn" localSheetId="0" hidden="1">"row"</definedName>
    <definedName name="A107TIMEINTERVAL" localSheetId="0">output!$A$116:$A$133</definedName>
    <definedName name="A107TIMEINTERVAL.dirn" localSheetId="0" hidden="1">"row"</definedName>
    <definedName name="AsistantA102" localSheetId="4">Sheet1!$N$45:$W$62</definedName>
    <definedName name="AsistantA102.badindex" localSheetId="4" hidden="1">1</definedName>
    <definedName name="AsistantA102.columnindex" localSheetId="4" hidden="1">Sheet1!$N$44:$W$44</definedName>
    <definedName name="AsistantA102.columnindex.dirn" localSheetId="4" hidden="1">"column"</definedName>
    <definedName name="AsistantA102.firstindex" localSheetId="4" hidden="1">"row"</definedName>
    <definedName name="AsistantA102.rowindex" localSheetId="4" hidden="1">Sheet1!$M$45:$M$62</definedName>
    <definedName name="AsistantA102.rowindex.dirn" localSheetId="4" hidden="1">"row"</definedName>
    <definedName name="AsistantA103" localSheetId="4">Sheet1!$B$66:$K$83</definedName>
    <definedName name="AsistantA103.badindex" localSheetId="4" hidden="1">1</definedName>
    <definedName name="AsistantA103.columnindex" localSheetId="4" hidden="1">Sheet1!$B$65:$K$65</definedName>
    <definedName name="AsistantA103.columnindex.dirn" localSheetId="4" hidden="1">"column"</definedName>
    <definedName name="AsistantA103.firstindex" localSheetId="4" hidden="1">"row"</definedName>
    <definedName name="AsistantA103.rowindex" localSheetId="4" hidden="1">Sheet1!$A$66:$A$83</definedName>
    <definedName name="AsistantA103.rowindex.dirn" localSheetId="4" hidden="1">"row"</definedName>
    <definedName name="AsistantA104" localSheetId="4">Sheet1!$N$66:$W$83</definedName>
    <definedName name="AsistantA104.badindex" localSheetId="4" hidden="1">1</definedName>
    <definedName name="AsistantA104.columnindex" localSheetId="4" hidden="1">Sheet1!$N$65:$W$65</definedName>
    <definedName name="AsistantA104.columnindex.dirn" localSheetId="4" hidden="1">"column"</definedName>
    <definedName name="AsistantA104.firstindex" localSheetId="4" hidden="1">"row"</definedName>
    <definedName name="AsistantA104.rowindex" localSheetId="4" hidden="1">Sheet1!$M$66:$M$83</definedName>
    <definedName name="AsistantA104.rowindex.dirn" localSheetId="4" hidden="1">"row"</definedName>
    <definedName name="AsistantA105" localSheetId="4">Sheet1!$B$87:$K$104</definedName>
    <definedName name="AsistantA105.badindex" localSheetId="4" hidden="1">1</definedName>
    <definedName name="AsistantA105.columnindex" localSheetId="4" hidden="1">Sheet1!$B$86:$K$86</definedName>
    <definedName name="AsistantA105.columnindex.dirn" localSheetId="4" hidden="1">"column"</definedName>
    <definedName name="AsistantA105.firstindex" localSheetId="4" hidden="1">"row"</definedName>
    <definedName name="AsistantA105.rowindex" localSheetId="4" hidden="1">Sheet1!$A$87:$A$104</definedName>
    <definedName name="AsistantA105.rowindex.dirn" localSheetId="4" hidden="1">"row"</definedName>
    <definedName name="AsistantA106" localSheetId="4">Sheet1!$N$87:$W$104</definedName>
    <definedName name="AsistantA106.badindex" localSheetId="4" hidden="1">1</definedName>
    <definedName name="AsistantA106.columnindex" localSheetId="4" hidden="1">Sheet1!$N$86:$W$86</definedName>
    <definedName name="AsistantA106.columnindex.dirn" localSheetId="4" hidden="1">"column"</definedName>
    <definedName name="AsistantA106.firstindex" localSheetId="4" hidden="1">"row"</definedName>
    <definedName name="AsistantA106.rowindex" localSheetId="4" hidden="1">Sheet1!$M$87:$M$104</definedName>
    <definedName name="AsistantA106.rowindex.dirn" localSheetId="4" hidden="1">"row"</definedName>
    <definedName name="AsistantA107" localSheetId="4">Sheet1!$B$108:$K$125</definedName>
    <definedName name="AsistantA107.badindex" localSheetId="4" hidden="1">1</definedName>
    <definedName name="AsistantA107.columnindex" localSheetId="4" hidden="1">Sheet1!$B$107:$K$107</definedName>
    <definedName name="AsistantA107.columnindex.dirn" localSheetId="4" hidden="1">"column"</definedName>
    <definedName name="AsistantA107.firstindex" localSheetId="4" hidden="1">"row"</definedName>
    <definedName name="AsistantA107.rowindex" localSheetId="4" hidden="1">Sheet1!$A$108:$A$125</definedName>
    <definedName name="AsistantA107.rowindex.dirn" localSheetId="4" hidden="1">"row"</definedName>
    <definedName name="AsistantLab1" localSheetId="4">Sheet1!$N$108:$W$125</definedName>
    <definedName name="AsistantLab1.badindex" localSheetId="4" hidden="1">1</definedName>
    <definedName name="AsistantLab1.columnindex" localSheetId="4" hidden="1">Sheet1!$N$107:$W$107</definedName>
    <definedName name="AsistantLab1.columnindex.dirn" localSheetId="4" hidden="1">"column"</definedName>
    <definedName name="AsistantLab1.firstindex" localSheetId="4" hidden="1">"row"</definedName>
    <definedName name="AsistantLab1.rowindex" localSheetId="4" hidden="1">Sheet1!$M$108:$M$125</definedName>
    <definedName name="AsistantLab1.rowindex.dirn" localSheetId="4" hidden="1">"row"</definedName>
    <definedName name="AsistantLab2" localSheetId="4">Sheet1!$B$129:$K$146</definedName>
    <definedName name="AsistantLab2.badindex" localSheetId="4" hidden="1">1</definedName>
    <definedName name="AsistantLab2.columnindex" localSheetId="4" hidden="1">Sheet1!$B$128:$K$128</definedName>
    <definedName name="AsistantLab2.columnindex.dirn" localSheetId="4" hidden="1">"column"</definedName>
    <definedName name="AsistantLab2.firstindex" localSheetId="4" hidden="1">"row"</definedName>
    <definedName name="AsistantLab2.rowindex" localSheetId="4" hidden="1">Sheet1!$A$129:$A$146</definedName>
    <definedName name="AsistantLab2.rowindex.dirn" localSheetId="4" hidden="1">"row"</definedName>
    <definedName name="AsistantLab3" localSheetId="4">Sheet1!$N$129:$W$146</definedName>
    <definedName name="AsistantLab3.badindex" localSheetId="4" hidden="1">1</definedName>
    <definedName name="AsistantLab3.columnindex" localSheetId="4" hidden="1">Sheet1!$N$128:$W$128</definedName>
    <definedName name="AsistantLab3.columnindex.dirn" localSheetId="4" hidden="1">"column"</definedName>
    <definedName name="AsistantLab3.firstindex" localSheetId="4" hidden="1">"row"</definedName>
    <definedName name="AsistantLab3.rowindex" localSheetId="4" hidden="1">Sheet1!$M$129:$M$146</definedName>
    <definedName name="AsistantLab3.rowindex.dirn" localSheetId="4" hidden="1">"row"</definedName>
    <definedName name="AsistantLab4" localSheetId="4">Sheet1!$B$150:$K$167</definedName>
    <definedName name="AsistantLab4.badindex" localSheetId="4" hidden="1">1</definedName>
    <definedName name="AsistantLab4.columnindex" localSheetId="4" hidden="1">Sheet1!$B$149:$K$149</definedName>
    <definedName name="AsistantLab4.columnindex.dirn" localSheetId="4" hidden="1">"column"</definedName>
    <definedName name="AsistantLab4.firstindex" localSheetId="4" hidden="1">"row"</definedName>
    <definedName name="AsistantLab4.rowindex" localSheetId="4" hidden="1">Sheet1!$A$150:$A$167</definedName>
    <definedName name="AsistantLab4.rowindex.dirn" localSheetId="4" hidden="1">"row"</definedName>
    <definedName name="Asistants" localSheetId="4">asistan!$A$4:$A$41</definedName>
    <definedName name="Asistants.dirn" localSheetId="4" hidden="1">"row"</definedName>
    <definedName name="AsistantsName" localSheetId="4">asistan!$B$4:$B$41</definedName>
    <definedName name="AsistantsName.badindex" localSheetId="4" hidden="1">1</definedName>
    <definedName name="AsistantsName.columnindex" localSheetId="4" hidden="1">asistan!$B$3</definedName>
    <definedName name="AsistantsName.columnindex.dirn" localSheetId="4" hidden="1">"column"</definedName>
    <definedName name="AsistantsName.firstindex" localSheetId="4" hidden="1">"row"</definedName>
    <definedName name="AsistantsName.rowindex" localSheetId="4" hidden="1">asistan!$A$4:$A$41</definedName>
    <definedName name="AsistantsName.rowindex.dirn" localSheetId="4" hidden="1">"row"</definedName>
    <definedName name="AsistantsSeniority" localSheetId="4">asistan!$C$4:$C$41</definedName>
    <definedName name="AsistantsSeniority.badindex" localSheetId="4" hidden="1">1</definedName>
    <definedName name="AsistantsSeniority.columnindex" localSheetId="4" hidden="1">asistan!$C$3</definedName>
    <definedName name="AsistantsSeniority.columnindex.dirn" localSheetId="4" hidden="1">"column"</definedName>
    <definedName name="AsistantsSeniority.firstindex" localSheetId="4" hidden="1">"row"</definedName>
    <definedName name="AsistantsSeniority.rowindex" localSheetId="4" hidden="1">asistan!$A$4:$A$41</definedName>
    <definedName name="AsistantsSeniority.rowindex.dirn" localSheetId="4" hidden="1">"row"</definedName>
    <definedName name="AsistantZ03" localSheetId="4">Sheet1!$B$3:$K$20</definedName>
    <definedName name="AsistantZ03.badindex" localSheetId="4" hidden="1">1</definedName>
    <definedName name="AsistantZ03.columnindex" localSheetId="4" hidden="1">Sheet1!$B$2:$K$2</definedName>
    <definedName name="AsistantZ03.columnindex.dirn" localSheetId="4" hidden="1">"column"</definedName>
    <definedName name="AsistantZ03.firstindex" localSheetId="4" hidden="1">"row"</definedName>
    <definedName name="AsistantZ03.rowindex" localSheetId="4" hidden="1">Sheet1!$A$3:$A$20</definedName>
    <definedName name="AsistantZ03.rowindex.dirn" localSheetId="4" hidden="1">"row"</definedName>
    <definedName name="AsistantZ04" localSheetId="4">Sheet1!$N$3:$W$20</definedName>
    <definedName name="AsistantZ04.badindex" localSheetId="4" hidden="1">1</definedName>
    <definedName name="AsistantZ04.columnindex" localSheetId="4" hidden="1">Sheet1!$N$2:$W$2</definedName>
    <definedName name="AsistantZ04.columnindex.dirn" localSheetId="4" hidden="1">"column"</definedName>
    <definedName name="AsistantZ04.firstindex" localSheetId="4" hidden="1">"row"</definedName>
    <definedName name="AsistantZ04.rowindex" localSheetId="4" hidden="1">Sheet1!$M$3:$M$20</definedName>
    <definedName name="AsistantZ04.rowindex.dirn" localSheetId="4" hidden="1">"row"</definedName>
    <definedName name="AsistantZ05" localSheetId="4">Sheet1!$B$24:$K$41</definedName>
    <definedName name="AsistantZ05.badindex" localSheetId="4" hidden="1">1</definedName>
    <definedName name="AsistantZ05.columnindex" localSheetId="4" hidden="1">Sheet1!$B$23:$K$23</definedName>
    <definedName name="AsistantZ05.columnindex.dirn" localSheetId="4" hidden="1">"column"</definedName>
    <definedName name="AsistantZ05.firstindex" localSheetId="4" hidden="1">"row"</definedName>
    <definedName name="AsistantZ05.rowindex" localSheetId="4" hidden="1">Sheet1!$A$24:$A$41</definedName>
    <definedName name="AsistantZ05.rowindex.dirn" localSheetId="4" hidden="1">"row"</definedName>
    <definedName name="AsistantZ06" localSheetId="4">Sheet1!$N$24:$W$41</definedName>
    <definedName name="AsistantZ06.badindex" localSheetId="4" hidden="1">1</definedName>
    <definedName name="AsistantZ06.columnindex" localSheetId="4" hidden="1">Sheet1!$N$23:$W$23</definedName>
    <definedName name="AsistantZ06.columnindex.dirn" localSheetId="4" hidden="1">"column"</definedName>
    <definedName name="AsistantZ06.firstindex" localSheetId="4" hidden="1">"row"</definedName>
    <definedName name="AsistantZ06.rowindex" localSheetId="4" hidden="1">Sheet1!$M$24:$M$41</definedName>
    <definedName name="AsistantZ06.rowindex.dirn" localSheetId="4" hidden="1">"row"</definedName>
    <definedName name="AsistantZ07" localSheetId="4">Sheet1!$B$45:$K$62</definedName>
    <definedName name="AsistantZ07.badindex" localSheetId="4" hidden="1">1</definedName>
    <definedName name="AsistantZ07.columnindex" localSheetId="4" hidden="1">Sheet1!$B$44:$K$44</definedName>
    <definedName name="AsistantZ07.columnindex.dirn" localSheetId="4" hidden="1">"column"</definedName>
    <definedName name="AsistantZ07.firstindex" localSheetId="4" hidden="1">"row"</definedName>
    <definedName name="AsistantZ07.rowindex" localSheetId="4" hidden="1">Sheet1!$A$45:$A$62</definedName>
    <definedName name="AsistantZ07.rowindex.dirn" localSheetId="4" hidden="1">"row"</definedName>
    <definedName name="BANKA1" localSheetId="0">input!$AK$4:$AK$21</definedName>
    <definedName name="BANKA1.dirn" localSheetId="0" hidden="1">"row"</definedName>
    <definedName name="BANKA2" localSheetId="0">input!$AL$4:$AL$21</definedName>
    <definedName name="BANKA2.dirn" localSheetId="0" hidden="1">"row"</definedName>
    <definedName name="capacityofclass" localSheetId="0">input!$N$4:$N$18</definedName>
    <definedName name="capacityofclass.badindex" localSheetId="0" hidden="1">1</definedName>
    <definedName name="capacityofclass.columnindex" localSheetId="0" hidden="1">input!$N$3</definedName>
    <definedName name="capacityofclass.columnindex.dirn" localSheetId="0" hidden="1">"column"</definedName>
    <definedName name="capacityofclass.firstindex" localSheetId="0" hidden="1">"row"</definedName>
    <definedName name="capacityofclass.rowindex" localSheetId="0" hidden="1">input!$L$4:$L$18</definedName>
    <definedName name="capacityofclass.rowindex.dirn" localSheetId="0" hidden="1">"row"</definedName>
    <definedName name="capacityofcourses" localSheetId="0">input!$C$4:$C$203</definedName>
    <definedName name="capacityofcourses.badindex" localSheetId="0" hidden="1">1</definedName>
    <definedName name="capacityofcourses.columnindex" localSheetId="0" hidden="1">input!$C$3</definedName>
    <definedName name="capacityofcourses.columnindex.dirn" localSheetId="0" hidden="1">"column"</definedName>
    <definedName name="capacityofcourses.firstindex" localSheetId="0" hidden="1">"row"</definedName>
    <definedName name="capacityofcourses.rowindex" localSheetId="0" hidden="1">input!$A$4:$A$203</definedName>
    <definedName name="capacityofcourses.rowindex.dirn" localSheetId="0" hidden="1">"row"</definedName>
    <definedName name="ClassList" localSheetId="0">input!$M$4:$M$18</definedName>
    <definedName name="ClassList.badindex" localSheetId="0" hidden="1">1</definedName>
    <definedName name="ClassList.columnindex" localSheetId="0" hidden="1">input!$M$3</definedName>
    <definedName name="ClassList.columnindex.dirn" localSheetId="0" hidden="1">"column"</definedName>
    <definedName name="ClassList.firstindex" localSheetId="0" hidden="1">"row"</definedName>
    <definedName name="ClassList.rowindex" localSheetId="0" hidden="1">input!$L$4:$L$18</definedName>
    <definedName name="ClassList.rowindex.dirn" localSheetId="0" hidden="1">"row"</definedName>
    <definedName name="Classroom" localSheetId="4">asistan!$J$27:$J$41</definedName>
    <definedName name="Classroom" localSheetId="0">input!$L$4:$L$14</definedName>
    <definedName name="Classroom.dirn" localSheetId="4" hidden="1">"row"</definedName>
    <definedName name="Classroom.dirn" localSheetId="0" hidden="1">"row"</definedName>
    <definedName name="ClassroomName" localSheetId="4">asistan!$K$27:$K$41</definedName>
    <definedName name="ClassroomName.badindex" localSheetId="4" hidden="1">1</definedName>
    <definedName name="ClassroomName.columnindex" localSheetId="4" hidden="1">asistan!$K$26</definedName>
    <definedName name="ClassroomName.columnindex.dirn" localSheetId="4" hidden="1">"column"</definedName>
    <definedName name="ClassroomName.firstindex" localSheetId="4" hidden="1">"row"</definedName>
    <definedName name="ClassroomName.rowindex" localSheetId="4" hidden="1">asistan!$J$27:$J$41</definedName>
    <definedName name="ClassroomName.rowindex.dirn" localSheetId="4" hidden="1">"row"</definedName>
    <definedName name="Classrooms" localSheetId="0">input!$L$4:$L$18</definedName>
    <definedName name="Classrooms.dirn" localSheetId="0" hidden="1">"row"</definedName>
    <definedName name="cost1" localSheetId="0">input!$AE$37:$AE$54</definedName>
    <definedName name="cost1.badindex" localSheetId="0" hidden="1">1</definedName>
    <definedName name="cost1.rowindex" localSheetId="0" hidden="1">input!$AE$4:$AE$21</definedName>
    <definedName name="cost1.rowindex.dirn" localSheetId="0" hidden="1">"row"</definedName>
    <definedName name="cost10" localSheetId="0">input!$AR$37:$AR$54</definedName>
    <definedName name="cost10.badindex" localSheetId="0" hidden="1">1</definedName>
    <definedName name="cost10.rowindex" localSheetId="0" hidden="1">input!$AR$4:$AR$21</definedName>
    <definedName name="cost10.rowindex.dirn" localSheetId="0" hidden="1">"row"</definedName>
    <definedName name="cost11" localSheetId="0">input!$AT$37:$AT$54</definedName>
    <definedName name="cost11.badindex" localSheetId="0" hidden="1">1</definedName>
    <definedName name="cost11.rowindex" localSheetId="0" hidden="1">input!$AT$4:$AT$21</definedName>
    <definedName name="cost11.rowindex.dirn" localSheetId="0" hidden="1">"row"</definedName>
    <definedName name="cost12" localSheetId="0">input!$AU$37:$AU$54</definedName>
    <definedName name="cost12.badindex" localSheetId="0" hidden="1">1</definedName>
    <definedName name="cost12.rowindex" localSheetId="0" hidden="1">input!$AU$4:$AU$21</definedName>
    <definedName name="cost12.rowindex.dirn" localSheetId="0" hidden="1">"row"</definedName>
    <definedName name="cost13" localSheetId="0">input!$AW$37:$AW$54</definedName>
    <definedName name="cost13.badindex" localSheetId="0" hidden="1">1</definedName>
    <definedName name="cost13.rowindex" localSheetId="0" hidden="1">input!$AW$4:$AW$21</definedName>
    <definedName name="cost13.rowindex.dirn" localSheetId="0" hidden="1">"row"</definedName>
    <definedName name="cost14" localSheetId="0">input!$AX$37:$AX$54</definedName>
    <definedName name="cost14.badindex" localSheetId="0" hidden="1">1</definedName>
    <definedName name="cost14.rowindex" localSheetId="0" hidden="1">input!$AX$4:$AX$21</definedName>
    <definedName name="cost14.rowindex.dirn" localSheetId="0" hidden="1">"row"</definedName>
    <definedName name="cost2" localSheetId="0">input!$AF$37:$AF$54</definedName>
    <definedName name="cost2.badindex" localSheetId="0" hidden="1">1</definedName>
    <definedName name="cost2.rowindex" localSheetId="0" hidden="1">input!$AF$4:$AF$21</definedName>
    <definedName name="cost2.rowindex.dirn" localSheetId="0" hidden="1">"row"</definedName>
    <definedName name="cost3" localSheetId="0">input!$AH$37:$AH$54</definedName>
    <definedName name="cost3.badindex" localSheetId="0" hidden="1">1</definedName>
    <definedName name="cost3.rowindex" localSheetId="0" hidden="1">input!$AH$4:$AH$21</definedName>
    <definedName name="cost3.rowindex.dirn" localSheetId="0" hidden="1">"row"</definedName>
    <definedName name="cost4" localSheetId="0">input!$AI$37:$AI$54</definedName>
    <definedName name="cost4.badindex" localSheetId="0" hidden="1">1</definedName>
    <definedName name="cost4.rowindex" localSheetId="0" hidden="1">input!$AI$4:$AI$21</definedName>
    <definedName name="cost4.rowindex.dirn" localSheetId="0" hidden="1">"row"</definedName>
    <definedName name="cost5" localSheetId="0">input!$AK$37:$AK$54</definedName>
    <definedName name="cost5.badindex" localSheetId="0" hidden="1">1</definedName>
    <definedName name="cost5.rowindex" localSheetId="0" hidden="1">input!$AK$4:$AK$21</definedName>
    <definedName name="cost5.rowindex.dirn" localSheetId="0" hidden="1">"row"</definedName>
    <definedName name="cost6" localSheetId="0">input!$AL$37:$AL$54</definedName>
    <definedName name="cost6.badindex" localSheetId="0" hidden="1">1</definedName>
    <definedName name="cost6.rowindex" localSheetId="0" hidden="1">input!$AL$4:$AL$21</definedName>
    <definedName name="cost6.rowindex.dirn" localSheetId="0" hidden="1">"row"</definedName>
    <definedName name="cost7" localSheetId="0">input!$AN$37:$AN$54</definedName>
    <definedName name="cost7.badindex" localSheetId="0" hidden="1">1</definedName>
    <definedName name="cost7.rowindex" localSheetId="0" hidden="1">input!$AN$4:$AN$21</definedName>
    <definedName name="cost7.rowindex.dirn" localSheetId="0" hidden="1">"row"</definedName>
    <definedName name="cost8" localSheetId="0">input!$AO$37:$AO$54</definedName>
    <definedName name="cost8.badindex" localSheetId="0" hidden="1">1</definedName>
    <definedName name="cost8.rowindex" localSheetId="0" hidden="1">input!$AO$4:$AO$21</definedName>
    <definedName name="cost8.rowindex.dirn" localSheetId="0" hidden="1">"row"</definedName>
    <definedName name="cost9" localSheetId="0">input!$AQ$37:$AQ$54</definedName>
    <definedName name="cost9.badindex" localSheetId="0" hidden="1">1</definedName>
    <definedName name="cost9.rowindex" localSheetId="0" hidden="1">input!$AQ$4:$AQ$21</definedName>
    <definedName name="cost9.rowindex.dirn" localSheetId="0" hidden="1">"row"</definedName>
    <definedName name="CourseFeature" localSheetId="0">input!$D$4:$I$250</definedName>
    <definedName name="CourseFeature.badindex" localSheetId="0" hidden="1">1</definedName>
    <definedName name="CourseFeature.columnindex" localSheetId="0" hidden="1">input!$D$3:$I$3</definedName>
    <definedName name="CourseFeature.columnindex.dirn" localSheetId="0" hidden="1">"column"</definedName>
    <definedName name="CourseFeature.firstindex" localSheetId="0" hidden="1">"row"</definedName>
    <definedName name="CourseFeature.rowindex" localSheetId="0" hidden="1">input!$A$4:$A$250</definedName>
    <definedName name="CourseFeature.rowindex.dirn" localSheetId="0" hidden="1">"row"</definedName>
    <definedName name="CourseHour" localSheetId="4">asistan!$AX$4:$AX$250</definedName>
    <definedName name="CourseHour.badindex" localSheetId="4" hidden="1">1</definedName>
    <definedName name="CourseHour.columnindex" localSheetId="4" hidden="1">asistan!$AX$3</definedName>
    <definedName name="CourseHour.columnindex.dirn" localSheetId="4" hidden="1">"column"</definedName>
    <definedName name="CourseHour.firstindex" localSheetId="4" hidden="1">"row"</definedName>
    <definedName name="CourseHour.rowindex" localSheetId="4" hidden="1">asistan!$AU$4:$AU$250</definedName>
    <definedName name="CourseHour.rowindex.dirn" localSheetId="4" hidden="1">"row"</definedName>
    <definedName name="CourseName" localSheetId="4">asistan!$AV$4:$AV$250</definedName>
    <definedName name="CourseName" localSheetId="0">input!$B$4:$B$203</definedName>
    <definedName name="CourseName.badindex" localSheetId="4" hidden="1">1</definedName>
    <definedName name="CourseName.badindex" localSheetId="0" hidden="1">1</definedName>
    <definedName name="CourseName.columnindex" localSheetId="4" hidden="1">asistan!$AV$3</definedName>
    <definedName name="CourseName.columnindex" localSheetId="0" hidden="1">input!$B$3</definedName>
    <definedName name="CourseName.columnindex.dirn" localSheetId="4" hidden="1">"column"</definedName>
    <definedName name="CourseName.columnindex.dirn" localSheetId="0" hidden="1">"column"</definedName>
    <definedName name="CourseName.firstindex" localSheetId="4" hidden="1">"row"</definedName>
    <definedName name="CourseName.firstindex" localSheetId="0" hidden="1">"column"</definedName>
    <definedName name="CourseName.rowindex" localSheetId="4" hidden="1">asistan!$AU$4:$AU$250</definedName>
    <definedName name="CourseName.rowindex" localSheetId="0" hidden="1">input!$A$4:$A$203</definedName>
    <definedName name="CourseName.rowindex.dirn" localSheetId="4" hidden="1">"row"</definedName>
    <definedName name="CourseName.rowindex.dirn" localSheetId="0" hidden="1">"row"</definedName>
    <definedName name="Courses" localSheetId="4">asistan!$AU$4:$AU$250</definedName>
    <definedName name="Courses" localSheetId="0">input!$A$4:$A$203</definedName>
    <definedName name="Courses.dirn" localSheetId="4" hidden="1">"row"</definedName>
    <definedName name="Courses.dirn" localSheetId="0" hidden="1">"row"</definedName>
    <definedName name="Days" localSheetId="4">asistan!$J$4:$J$23</definedName>
    <definedName name="Days" localSheetId="0">input!$K$22:$K$31</definedName>
    <definedName name="Days.dirn" localSheetId="4" hidden="1">"row"</definedName>
    <definedName name="Days.dirn" localSheetId="0" hidden="1">"row"</definedName>
    <definedName name="DesiredDays" localSheetId="4">asistan!$AE$4:$AS$41</definedName>
    <definedName name="DesiredDays.badindex" localSheetId="4" hidden="1">1</definedName>
    <definedName name="DesiredDays.columnindex" localSheetId="4" hidden="1">asistan!$AE$3:$AS$3</definedName>
    <definedName name="DesiredDays.columnindex.dirn" localSheetId="4" hidden="1">"column"</definedName>
    <definedName name="DesiredDays.firstindex" localSheetId="4" hidden="1">"row"</definedName>
    <definedName name="DesiredDays.rowindex" localSheetId="4" hidden="1">asistan!$AD$4:$AD$41</definedName>
    <definedName name="DesiredDays.rowindex.dirn" localSheetId="4" hidden="1">"row"</definedName>
    <definedName name="DISTICARET1" localSheetId="0">input!$AQ$4:$AQ$21</definedName>
    <definedName name="DISTICARET1.dirn" localSheetId="0" hidden="1">"row"</definedName>
    <definedName name="DISTICARET2" localSheetId="0">input!$AR$4:$AR$21</definedName>
    <definedName name="DISTICARET2.dirn" localSheetId="0" hidden="1">"row"</definedName>
    <definedName name="EMLAK1" localSheetId="0">input!$AE$4:$AE$21</definedName>
    <definedName name="EMLAK1.dirn" localSheetId="0" hidden="1">"row"</definedName>
    <definedName name="EMLAK2" localSheetId="0">input!$AF$4:$AF$21</definedName>
    <definedName name="EMLAK2.dirn" localSheetId="0" hidden="1">"row"</definedName>
    <definedName name="Exam" localSheetId="4">asistan!$BE$4:$BH$253</definedName>
    <definedName name="Exam.badindex" localSheetId="4" hidden="1">1</definedName>
    <definedName name="Exam.columnindex" localSheetId="4" hidden="1">asistan!$BE$3:$BH$3</definedName>
    <definedName name="Exam.columnindex.dirn" localSheetId="4" hidden="1">"column"</definedName>
    <definedName name="Exam.firstindex" localSheetId="4" hidden="1">"row"</definedName>
    <definedName name="Exam.rowindex" localSheetId="4" hidden="1">asistan!$BD$4:$BD$253</definedName>
    <definedName name="Exam.rowindex.dirn" localSheetId="4" hidden="1">"row"</definedName>
    <definedName name="ExamIndex" localSheetId="4">asistan!$BD$4:$BD$253</definedName>
    <definedName name="ExamIndex.dirn" localSheetId="4" hidden="1">"row"</definedName>
    <definedName name="ExamOutput" localSheetId="4">asistan!$BA$4:$BB$250</definedName>
    <definedName name="ExamOutput" localSheetId="0">asistan!$BA$4:$BB$250</definedName>
    <definedName name="ExamOutput.badindex" localSheetId="4" hidden="1">1</definedName>
    <definedName name="ExamOutput.badindex" localSheetId="0" hidden="1">1</definedName>
    <definedName name="ExamOutput.columnindex" localSheetId="4" hidden="1">asistan!$BA$3:$BB$3</definedName>
    <definedName name="ExamOutput.columnindex" localSheetId="0" hidden="1">asistan!$BA$3:$BB$3</definedName>
    <definedName name="ExamOutput.columnindex.dirn" localSheetId="4" hidden="1">"column"</definedName>
    <definedName name="ExamOutput.columnindex.dirn" localSheetId="0" hidden="1">"column"</definedName>
    <definedName name="ExamOutput.firstindex" localSheetId="4" hidden="1">"row"</definedName>
    <definedName name="ExamOutput.firstindex" localSheetId="0" hidden="1">"row"</definedName>
    <definedName name="ExamOutput.rowindex" localSheetId="4" hidden="1">asistan!$AZ$4:$AZ$250</definedName>
    <definedName name="ExamOutput.rowindex" localSheetId="0" hidden="1">asistan!$AZ$4:$AZ$250</definedName>
    <definedName name="ExamOutput.rowindex.dirn" localSheetId="4" hidden="1">"row"</definedName>
    <definedName name="ExamOutput.rowindex.dirn" localSheetId="0" hidden="1">"row"</definedName>
    <definedName name="ExamOutputIndex" localSheetId="4">asistan!$AZ$4:$AZ$250</definedName>
    <definedName name="ExamOutputIndex.dirn" localSheetId="4" hidden="1">"row"</definedName>
    <definedName name="Exception" localSheetId="0">input!$AB$4:$AC$203</definedName>
    <definedName name="Exception.badindex" localSheetId="0" hidden="1">1</definedName>
    <definedName name="Exception.columnindex" localSheetId="0" hidden="1">input!$AB$3:$AC$3</definedName>
    <definedName name="Exception.columnindex.dirn" localSheetId="0" hidden="1">"column"</definedName>
    <definedName name="Exception.firstindex" localSheetId="0" hidden="1">"row"</definedName>
    <definedName name="Exception.rowindex" localSheetId="0" hidden="1">input!$AA$4:$AA$203</definedName>
    <definedName name="Exception.rowindex.dirn" localSheetId="0" hidden="1">"row"</definedName>
    <definedName name="ExceptionArray1" localSheetId="0">input!$AB$4:$AB$203</definedName>
    <definedName name="ExceptionArray1.dirn" localSheetId="0" hidden="1">"row"</definedName>
    <definedName name="ExceptionArray2" localSheetId="0">input!$AC$4:$AC$203</definedName>
    <definedName name="ExceptionArray2.dirn" localSheetId="0" hidden="1">"row"</definedName>
    <definedName name="ExceptionIndex" localSheetId="0">input!$AA$4:$AA$203</definedName>
    <definedName name="ExceptionIndex.dirn" localSheetId="0" hidden="1">"row"</definedName>
    <definedName name="GozetmenToplu" localSheetId="4">Sheet2!$B$2:$K$18</definedName>
    <definedName name="GozetmenToplu.badindex" localSheetId="4" hidden="1">1</definedName>
    <definedName name="GozetmenToplu.columnindex" localSheetId="4" hidden="1">Sheet2!$B$1:$K$1</definedName>
    <definedName name="GozetmenToplu.columnindex.dirn" localSheetId="4" hidden="1">"column"</definedName>
    <definedName name="GozetmenToplu.firstindex" localSheetId="4" hidden="1">"row"</definedName>
    <definedName name="GozetmenToplu.rowindex" localSheetId="4" hidden="1">Sheet2!$A$2:$A$18</definedName>
    <definedName name="GozetmenToplu.rowindex.dirn" localSheetId="4" hidden="1">"row"</definedName>
    <definedName name="InstructorCourse" localSheetId="4">asistan!$G$4:$H$43</definedName>
    <definedName name="InstructorCourse.badindex" localSheetId="4" hidden="1">1</definedName>
    <definedName name="InstructorCourse.columnindex" localSheetId="4" hidden="1">asistan!$G$3:$H$3</definedName>
    <definedName name="InstructorCourse.columnindex.dirn" localSheetId="4" hidden="1">"column"</definedName>
    <definedName name="InstructorCourse.firstindex" localSheetId="4" hidden="1">"row"</definedName>
    <definedName name="InstructorCourse.rowindex" localSheetId="4" hidden="1">asistan!$F$4:$F$43</definedName>
    <definedName name="InstructorCourse.rowindex.dirn" localSheetId="4" hidden="1">"row"</definedName>
    <definedName name="InstructorCourseIndex" localSheetId="4">asistan!$F$4:$F$43</definedName>
    <definedName name="InstructorCourseIndex.dirn" localSheetId="4" hidden="1">"row"</definedName>
    <definedName name="ISLETME1" localSheetId="0">input!$AH$4:$AH$21</definedName>
    <definedName name="ISLETME1.dirn" localSheetId="0" hidden="1">"row"</definedName>
    <definedName name="ISLETME2" localSheetId="0">input!$AI$4:$AI$21</definedName>
    <definedName name="ISLETME2.dirn" localSheetId="0" hidden="1">"row"</definedName>
    <definedName name="JointCourseList" localSheetId="0">input!$Q$4:$S$39</definedName>
    <definedName name="JointCourseList.badindex" localSheetId="0" hidden="1">1</definedName>
    <definedName name="JointCourseList.columnindex" localSheetId="0" hidden="1">input!$Q$3:$S$3</definedName>
    <definedName name="JointCourseList.columnindex.dirn" localSheetId="0" hidden="1">"column"</definedName>
    <definedName name="JointCourseList.firstindex" localSheetId="0" hidden="1">"row"</definedName>
    <definedName name="JointCourseList.rowindex" localSheetId="0" hidden="1">input!$P$4:$P$39</definedName>
    <definedName name="JointCourseList.rowindex.dirn" localSheetId="0" hidden="1">"row"</definedName>
    <definedName name="JointCourseListIndex" localSheetId="0">input!$P$4:$P$39</definedName>
    <definedName name="JointCourseListIndex.dirn" localSheetId="0" hidden="1">"row"</definedName>
    <definedName name="LAB1." localSheetId="4">output!$N$116:$W$133</definedName>
    <definedName name="LAB1.badindex" localSheetId="4" hidden="1">1</definedName>
    <definedName name="LAB1.columnindex" localSheetId="4" hidden="1">output!$N$115:$W$115</definedName>
    <definedName name="LAB1.columnindex.dirn" localSheetId="4" hidden="1">"column"</definedName>
    <definedName name="LAB1.firstindex" localSheetId="4" hidden="1">"row"</definedName>
    <definedName name="LAB1.rowindex" localSheetId="4" hidden="1">output!$M$116:$M$133</definedName>
    <definedName name="LAB1.rowindex.dirn" localSheetId="4" hidden="1">"row"</definedName>
    <definedName name="LAB1DAYS" localSheetId="0">output!$N$115:$W$115</definedName>
    <definedName name="LAB1DAYS.dirn" localSheetId="0" hidden="1">"column"</definedName>
    <definedName name="LAB1TABLE" localSheetId="0">output!$N$116:$W$133</definedName>
    <definedName name="LAB1TABLE.badindex" localSheetId="0" hidden="1">1</definedName>
    <definedName name="LAB1TABLE.columnindex" localSheetId="0" hidden="1">output!$N$115:$W$115</definedName>
    <definedName name="LAB1TABLE.columnindex.dirn" localSheetId="0" hidden="1">"column"</definedName>
    <definedName name="LAB1TABLE.firstindex" localSheetId="0" hidden="1">"column"</definedName>
    <definedName name="LAB1TABLE.rowindex" localSheetId="0" hidden="1">output!$M$116:$M$133</definedName>
    <definedName name="LAB1TABLE.rowindex.dirn" localSheetId="0" hidden="1">"row"</definedName>
    <definedName name="LAB1TIMEINTERVAL" localSheetId="0">output!$M$116:$M$133</definedName>
    <definedName name="LAB1TIMEINTERVAL.dirn" localSheetId="0" hidden="1">"row"</definedName>
    <definedName name="LAB2." localSheetId="4">output!$B$138:$K$155</definedName>
    <definedName name="LAB2.badindex" localSheetId="4" hidden="1">1</definedName>
    <definedName name="LAB2.columnindex" localSheetId="4" hidden="1">output!$B$137:$K$137</definedName>
    <definedName name="LAB2.columnindex.dirn" localSheetId="4" hidden="1">"column"</definedName>
    <definedName name="LAB2.firstindex" localSheetId="4" hidden="1">"row"</definedName>
    <definedName name="LAB2.rowindex" localSheetId="4" hidden="1">output!$A$138:$A$155</definedName>
    <definedName name="LAB2.rowindex.dirn" localSheetId="4" hidden="1">"row"</definedName>
    <definedName name="LAB2DAYS" localSheetId="0">output!$B$137:$K$137</definedName>
    <definedName name="LAB2DAYS.dirn" localSheetId="0" hidden="1">"column"</definedName>
    <definedName name="LAB2TABLE" localSheetId="0">output!$B$138:$K$155</definedName>
    <definedName name="LAB2TABLE.badindex" localSheetId="0" hidden="1">1</definedName>
    <definedName name="LAB2TABLE.columnindex" localSheetId="0" hidden="1">output!$B$137:$K$137</definedName>
    <definedName name="LAB2TABLE.columnindex.dirn" localSheetId="0" hidden="1">"column"</definedName>
    <definedName name="LAB2TABLE.firstindex" localSheetId="0" hidden="1">"column"</definedName>
    <definedName name="LAB2TABLE.rowindex" localSheetId="0" hidden="1">output!$A$138:$A$155</definedName>
    <definedName name="LAB2TABLE.rowindex.dirn" localSheetId="0" hidden="1">"row"</definedName>
    <definedName name="LAB2TIMEINTERVAL" localSheetId="0">output!$A$138:$A$155</definedName>
    <definedName name="LAB2TIMEINTERVAL.dirn" localSheetId="0" hidden="1">"row"</definedName>
    <definedName name="LAB3." localSheetId="4">output!$N$138:$W$155</definedName>
    <definedName name="LAB3.badindex" localSheetId="4" hidden="1">1</definedName>
    <definedName name="LAB3.columnindex" localSheetId="4" hidden="1">output!$N$137:$W$137</definedName>
    <definedName name="LAB3.columnindex.dirn" localSheetId="4" hidden="1">"column"</definedName>
    <definedName name="LAB3.firstindex" localSheetId="4" hidden="1">"row"</definedName>
    <definedName name="LAB3.rowindex" localSheetId="4" hidden="1">output!$M$138:$M$155</definedName>
    <definedName name="LAB3.rowindex.dirn" localSheetId="4" hidden="1">"row"</definedName>
    <definedName name="LAB3DAYS" localSheetId="0">output!$N$137:$W$137</definedName>
    <definedName name="LAB3DAYS.dirn" localSheetId="0" hidden="1">"column"</definedName>
    <definedName name="LAB3TABLE" localSheetId="0">output!$N$138:$W$155</definedName>
    <definedName name="LAB3TABLE.badindex" localSheetId="0" hidden="1">1</definedName>
    <definedName name="LAB3TABLE.columnindex" localSheetId="0" hidden="1">output!$N$137:$W$137</definedName>
    <definedName name="LAB3TABLE.columnindex.dirn" localSheetId="0" hidden="1">"column"</definedName>
    <definedName name="LAB3TABLE.firstindex" localSheetId="0" hidden="1">"column"</definedName>
    <definedName name="LAB3TABLE.rowindex" localSheetId="0" hidden="1">output!$M$138:$M$155</definedName>
    <definedName name="LAB3TABLE.rowindex.dirn" localSheetId="0" hidden="1">"row"</definedName>
    <definedName name="LAB3TIMEINTERVAL" localSheetId="0">output!$M$138:$M$155</definedName>
    <definedName name="LAB3TIMEINTERVAL.dirn" localSheetId="0" hidden="1">"row"</definedName>
    <definedName name="LAB4." localSheetId="4">output!$B$160:$K$177</definedName>
    <definedName name="LAB4.badindex" localSheetId="4" hidden="1">1</definedName>
    <definedName name="LAB4.columnindex" localSheetId="4" hidden="1">output!$B$159:$K$159</definedName>
    <definedName name="LAB4.columnindex.dirn" localSheetId="4" hidden="1">"column"</definedName>
    <definedName name="LAB4.firstindex" localSheetId="4" hidden="1">"row"</definedName>
    <definedName name="LAB4.rowindex" localSheetId="4" hidden="1">output!$A$160:$A$177</definedName>
    <definedName name="LAB4.rowindex.dirn" localSheetId="4" hidden="1">"row"</definedName>
    <definedName name="LAB4DAYS" localSheetId="0">output!$B$159:$K$159</definedName>
    <definedName name="LAB4DAYS.dirn" localSheetId="0" hidden="1">"column"</definedName>
    <definedName name="LAB4TABLE" localSheetId="0">output!$B$160:$K$177</definedName>
    <definedName name="LAB4TABLE.badindex" localSheetId="0" hidden="1">1</definedName>
    <definedName name="LAB4TABLE.columnindex" localSheetId="0" hidden="1">output!$B$159:$K$159</definedName>
    <definedName name="LAB4TABLE.columnindex.dirn" localSheetId="0" hidden="1">"column"</definedName>
    <definedName name="LAB4TABLE.firstindex" localSheetId="0" hidden="1">"column"</definedName>
    <definedName name="LAB4TABLE.rowindex" localSheetId="0" hidden="1">output!$A$160:$A$177</definedName>
    <definedName name="LAB4TABLE.rowindex.dirn" localSheetId="0" hidden="1">"row"</definedName>
    <definedName name="LAB4TIMEINTERVAL" localSheetId="0">output!$A$160:$A$177</definedName>
    <definedName name="LAB4TIMEINTERVAL.dirn" localSheetId="0" hidden="1">"row"</definedName>
    <definedName name="LabClassroom" localSheetId="0">input!$L$15:$L$18</definedName>
    <definedName name="LabClassroom.dirn" localSheetId="0" hidden="1">"row"</definedName>
    <definedName name="LastTable" localSheetId="0">Last!$B$2:$K$18</definedName>
    <definedName name="LastTable.badindex" localSheetId="0" hidden="1">1</definedName>
    <definedName name="LastTable.columnindex" localSheetId="0" hidden="1">Last!$B$1:$K$1</definedName>
    <definedName name="LastTable.columnindex.dirn" localSheetId="0" hidden="1">"column"</definedName>
    <definedName name="LastTable.firstindex" localSheetId="0" hidden="1">"row"</definedName>
    <definedName name="LastTable.rowindex" localSheetId="0" hidden="1">Last!$A$2:$A$18</definedName>
    <definedName name="LastTable.rowindex.dirn" localSheetId="0" hidden="1">"row"</definedName>
    <definedName name="MUHASEBE1" localSheetId="0">input!$AT$4:$AT$21</definedName>
    <definedName name="MUHASEBE1.dirn" localSheetId="0" hidden="1">"row"</definedName>
    <definedName name="MUHASEBE2" localSheetId="0">input!$AU$4:$AU$21</definedName>
    <definedName name="MUHASEBE2.dirn" localSheetId="0" hidden="1">"row"</definedName>
    <definedName name="OUTPUTBANKA1" localSheetId="0">output2!$B$48:$K$65</definedName>
    <definedName name="OUTPUTBANKA1.badindex" localSheetId="0" hidden="1">1</definedName>
    <definedName name="OUTPUTBANKA1.columnindex" localSheetId="0" hidden="1">output2!$B$47:$K$47</definedName>
    <definedName name="OUTPUTBANKA1.columnindex.dirn" localSheetId="0" hidden="1">"column"</definedName>
    <definedName name="OUTPUTBANKA1.firstindex" localSheetId="0" hidden="1">"column"</definedName>
    <definedName name="OUTPUTBANKA1.rowindex" localSheetId="0" hidden="1">output2!$A$48:$A$65</definedName>
    <definedName name="OUTPUTBANKA1.rowindex.dirn" localSheetId="0" hidden="1">"row"</definedName>
    <definedName name="OUTPUTBANKA2" localSheetId="0">output2!$N$48:$W$65</definedName>
    <definedName name="OUTPUTBANKA2.badindex" localSheetId="0" hidden="1">1</definedName>
    <definedName name="OUTPUTBANKA2.columnindex" localSheetId="0" hidden="1">output2!$N$47:$W$47</definedName>
    <definedName name="OUTPUTBANKA2.columnindex.dirn" localSheetId="0" hidden="1">"column"</definedName>
    <definedName name="OUTPUTBANKA2.firstindex" localSheetId="0" hidden="1">"column"</definedName>
    <definedName name="OUTPUTBANKA2.rowindex" localSheetId="0" hidden="1">output2!$M$48:$M$65</definedName>
    <definedName name="OUTPUTBANKA2.rowindex.dirn" localSheetId="0" hidden="1">"row"</definedName>
    <definedName name="OUTPUTDIS1" localSheetId="0">output2!$B$92:$K$109</definedName>
    <definedName name="OUTPUTDIS1.badindex" localSheetId="0" hidden="1">1</definedName>
    <definedName name="OUTPUTDIS1.columnindex" localSheetId="0" hidden="1">output2!$B$91:$K$91</definedName>
    <definedName name="OUTPUTDIS1.columnindex.dirn" localSheetId="0" hidden="1">"column"</definedName>
    <definedName name="OUTPUTDIS1.firstindex" localSheetId="0" hidden="1">"column"</definedName>
    <definedName name="OUTPUTDIS1.rowindex" localSheetId="0" hidden="1">output2!$A$92:$A$109</definedName>
    <definedName name="OUTPUTDIS1.rowindex.dirn" localSheetId="0" hidden="1">"row"</definedName>
    <definedName name="OUTPUTDIS2" localSheetId="0">output2!$N$92:$W$109</definedName>
    <definedName name="OUTPUTDIS2.badindex" localSheetId="0" hidden="1">1</definedName>
    <definedName name="OUTPUTDIS2.columnindex" localSheetId="0" hidden="1">output2!$N$91:$W$91</definedName>
    <definedName name="OUTPUTDIS2.columnindex.dirn" localSheetId="0" hidden="1">"column"</definedName>
    <definedName name="OUTPUTDIS2.firstindex" localSheetId="0" hidden="1">"column"</definedName>
    <definedName name="OUTPUTDIS2.rowindex" localSheetId="0" hidden="1">output2!$M$92:$M$109</definedName>
    <definedName name="OUTPUTDIS2.rowindex.dirn" localSheetId="0" hidden="1">"row"</definedName>
    <definedName name="OUTPUTEMLAK1" localSheetId="0">output2!$B$4:$K$21</definedName>
    <definedName name="OUTPUTEMLAK1.badindex" localSheetId="0" hidden="1">1</definedName>
    <definedName name="OUTPUTEMLAK1.columnindex" localSheetId="0" hidden="1">output2!$B$3:$K$3</definedName>
    <definedName name="OUTPUTEMLAK1.columnindex.dirn" localSheetId="0" hidden="1">"column"</definedName>
    <definedName name="OUTPUTEMLAK1.firstindex" localSheetId="0" hidden="1">"column"</definedName>
    <definedName name="OUTPUTEMLAK1.rowindex" localSheetId="0" hidden="1">output2!$A$4:$A$21</definedName>
    <definedName name="OUTPUTEMLAK1.rowindex.dirn" localSheetId="0" hidden="1">"row"</definedName>
    <definedName name="OUTPUTEMLAK2" localSheetId="0">output2!$N$4:$W$21</definedName>
    <definedName name="OUTPUTEMLAK2.badindex" localSheetId="0" hidden="1">1</definedName>
    <definedName name="OUTPUTEMLAK2.columnindex" localSheetId="0" hidden="1">output2!$N$3:$W$3</definedName>
    <definedName name="OUTPUTEMLAK2.columnindex.dirn" localSheetId="0" hidden="1">"column"</definedName>
    <definedName name="OUTPUTEMLAK2.firstindex" localSheetId="0" hidden="1">"column"</definedName>
    <definedName name="OUTPUTEMLAK2.rowindex" localSheetId="0" hidden="1">output2!$M$4:$M$21</definedName>
    <definedName name="OUTPUTEMLAK2.rowindex.dirn" localSheetId="0" hidden="1">"row"</definedName>
    <definedName name="OUTPUTISLETME1" localSheetId="0">output2!$B$26:$K$43</definedName>
    <definedName name="OUTPUTISLETME1.badindex" localSheetId="0" hidden="1">1</definedName>
    <definedName name="OUTPUTISLETME1.columnindex" localSheetId="0" hidden="1">output2!$B$25:$K$25</definedName>
    <definedName name="OUTPUTISLETME1.columnindex.dirn" localSheetId="0" hidden="1">"column"</definedName>
    <definedName name="OUTPUTISLETME1.firstindex" localSheetId="0" hidden="1">"column"</definedName>
    <definedName name="OUTPUTISLETME1.rowindex" localSheetId="0" hidden="1">output2!$A$26:$A$43</definedName>
    <definedName name="OUTPUTISLETME1.rowindex.dirn" localSheetId="0" hidden="1">"row"</definedName>
    <definedName name="OUTPUTISLETME2" localSheetId="0">output2!$N$26:$W$43</definedName>
    <definedName name="OUTPUTISLETME2.badindex" localSheetId="0" hidden="1">1</definedName>
    <definedName name="OUTPUTISLETME2.columnindex" localSheetId="0" hidden="1">output2!$N$25:$W$25</definedName>
    <definedName name="OUTPUTISLETME2.columnindex.dirn" localSheetId="0" hidden="1">"column"</definedName>
    <definedName name="OUTPUTISLETME2.firstindex" localSheetId="0" hidden="1">"column"</definedName>
    <definedName name="OUTPUTISLETME2.rowindex" localSheetId="0" hidden="1">output2!$M$26:$M$43</definedName>
    <definedName name="OUTPUTISLETME2.rowindex.dirn" localSheetId="0" hidden="1">"row"</definedName>
    <definedName name="OUTPUTMUHASEBE1" localSheetId="0">output2!$B$114:$K$131</definedName>
    <definedName name="OUTPUTMUHASEBE1.badindex" localSheetId="0" hidden="1">1</definedName>
    <definedName name="OUTPUTMUHASEBE1.columnindex" localSheetId="0" hidden="1">output2!$B$113:$K$113</definedName>
    <definedName name="OUTPUTMUHASEBE1.columnindex.dirn" localSheetId="0" hidden="1">"column"</definedName>
    <definedName name="OUTPUTMUHASEBE1.firstindex" localSheetId="0" hidden="1">"column"</definedName>
    <definedName name="OUTPUTMUHASEBE1.rowindex" localSheetId="0" hidden="1">output2!$A$114:$A$131</definedName>
    <definedName name="OUTPUTMUHASEBE1.rowindex.dirn" localSheetId="0" hidden="1">"row"</definedName>
    <definedName name="OUTPUTMUHASEBE2" localSheetId="0">output2!$N$114:$W$131</definedName>
    <definedName name="OUTPUTMUHASEBE2.badindex" localSheetId="0" hidden="1">1</definedName>
    <definedName name="OUTPUTMUHASEBE2.columnindex" localSheetId="0" hidden="1">output2!$N$113:$W$113</definedName>
    <definedName name="OUTPUTMUHASEBE2.columnindex.dirn" localSheetId="0" hidden="1">"column"</definedName>
    <definedName name="OUTPUTMUHASEBE2.firstindex" localSheetId="0" hidden="1">"column"</definedName>
    <definedName name="OUTPUTMUHASEBE2.rowindex" localSheetId="0" hidden="1">output2!$M$114:$M$131</definedName>
    <definedName name="OUTPUTMUHASEBE2.rowindex.dirn" localSheetId="0" hidden="1">"row"</definedName>
    <definedName name="OUTPUTPAZARLAMA1" localSheetId="0">output2!$B$70:$K$87</definedName>
    <definedName name="OUTPUTPAZARLAMA1.badindex" localSheetId="0" hidden="1">1</definedName>
    <definedName name="OUTPUTPAZARLAMA1.columnindex" localSheetId="0" hidden="1">output2!$B$69:$K$69</definedName>
    <definedName name="OUTPUTPAZARLAMA1.columnindex.dirn" localSheetId="0" hidden="1">"column"</definedName>
    <definedName name="OUTPUTPAZARLAMA1.firstindex" localSheetId="0" hidden="1">"column"</definedName>
    <definedName name="OUTPUTPAZARLAMA1.rowindex" localSheetId="0" hidden="1">output2!$A$70:$A$87</definedName>
    <definedName name="OUTPUTPAZARLAMA1.rowindex.dirn" localSheetId="0" hidden="1">"row"</definedName>
    <definedName name="OUTPUTPAZARLAMA2" localSheetId="0">output2!$N$70:$W$87</definedName>
    <definedName name="OUTPUTPAZARLAMA2.badindex" localSheetId="0" hidden="1">1</definedName>
    <definedName name="OUTPUTPAZARLAMA2.columnindex" localSheetId="0" hidden="1">output2!$N$69:$W$69</definedName>
    <definedName name="OUTPUTPAZARLAMA2.columnindex.dirn" localSheetId="0" hidden="1">"column"</definedName>
    <definedName name="OUTPUTPAZARLAMA2.firstindex" localSheetId="0" hidden="1">"column"</definedName>
    <definedName name="OUTPUTPAZARLAMA2.rowindex" localSheetId="0" hidden="1">output2!$M$70:$M$87</definedName>
    <definedName name="OUTPUTPAZARLAMA2.rowindex.dirn" localSheetId="0" hidden="1">"row"</definedName>
    <definedName name="OUTPUTTURIZM1" localSheetId="0">output2!$B$136:$K$153</definedName>
    <definedName name="OUTPUTTURIZM1.badindex" localSheetId="0" hidden="1">1</definedName>
    <definedName name="OUTPUTTURIZM1.columnindex" localSheetId="0" hidden="1">output2!$B$135:$K$135</definedName>
    <definedName name="OUTPUTTURIZM1.columnindex.dirn" localSheetId="0" hidden="1">"column"</definedName>
    <definedName name="OUTPUTTURIZM1.firstindex" localSheetId="0" hidden="1">"column"</definedName>
    <definedName name="OUTPUTTURIZM1.rowindex" localSheetId="0" hidden="1">output2!$A$136:$A$153</definedName>
    <definedName name="OUTPUTTURIZM1.rowindex.dirn" localSheetId="0" hidden="1">"row"</definedName>
    <definedName name="OUTPUTTURIZM2" localSheetId="0">output2!$N$136:$W$153</definedName>
    <definedName name="OUTPUTTURIZM2.badindex" localSheetId="0" hidden="1">1</definedName>
    <definedName name="OUTPUTTURIZM2.columnindex" localSheetId="0" hidden="1">output2!$N$135:$W$135</definedName>
    <definedName name="OUTPUTTURIZM2.columnindex.dirn" localSheetId="0" hidden="1">"column"</definedName>
    <definedName name="OUTPUTTURIZM2.firstindex" localSheetId="0" hidden="1">"column"</definedName>
    <definedName name="OUTPUTTURIZM2.rowindex" localSheetId="0" hidden="1">output2!$M$136:$M$153</definedName>
    <definedName name="OUTPUTTURIZM2.rowindex.dirn" localSheetId="0" hidden="1">"row"</definedName>
    <definedName name="PAZARLAMA1" localSheetId="0">input!$AN$4:$AN$21</definedName>
    <definedName name="PAZARLAMA1.dirn" localSheetId="0" hidden="1">"row"</definedName>
    <definedName name="PAZARLAMA2" localSheetId="0">input!$AO$4:$AO$21</definedName>
    <definedName name="PAZARLAMA2.dirn" localSheetId="0" hidden="1">"row"</definedName>
    <definedName name="_xlnm.Print_Area" localSheetId="0">input!$A$1:$AY$288</definedName>
    <definedName name="SameTimeCoursesArray1" localSheetId="0">input!$V$4:$V$203</definedName>
    <definedName name="SameTimeCoursesArray1.dirn" localSheetId="0" hidden="1">"row"</definedName>
    <definedName name="SameTimeCoursesArray2" localSheetId="0">input!$W$4:$W$203</definedName>
    <definedName name="SameTimeCoursesArray2.dirn" localSheetId="0" hidden="1">"row"</definedName>
    <definedName name="SameTimeList" localSheetId="0">input!$V$4:$Y$203</definedName>
    <definedName name="SameTimeList.badindex" localSheetId="0" hidden="1">1</definedName>
    <definedName name="SameTimeList.columnindex" localSheetId="0" hidden="1">input!$V$3:$Y$3</definedName>
    <definedName name="SameTimeList.columnindex.dirn" localSheetId="0" hidden="1">"column"</definedName>
    <definedName name="SameTimeList.firstindex" localSheetId="0" hidden="1">"row"</definedName>
    <definedName name="SameTimeList.rowindex" localSheetId="0" hidden="1">input!$U$4:$U$203</definedName>
    <definedName name="SameTimeList.rowindex.dirn" localSheetId="0" hidden="1">"row"</definedName>
    <definedName name="SameTimeListIndex" localSheetId="0">input!$U$4:$U$203</definedName>
    <definedName name="SameTimeListIndex.dirn" localSheetId="0" hidden="1">"row"</definedName>
    <definedName name="School" localSheetId="0">input!$AY$3:$AY$16</definedName>
    <definedName name="School.dirn" localSheetId="0" hidden="1">"row"</definedName>
    <definedName name="Seniority" localSheetId="4">asistan!$C$4:$C$41</definedName>
    <definedName name="Seniority.badindex" localSheetId="4" hidden="1">1</definedName>
    <definedName name="Seniority.columnindex" localSheetId="4" hidden="1">asistan!$C$3</definedName>
    <definedName name="Seniority.columnindex.dirn" localSheetId="4" hidden="1">"column"</definedName>
    <definedName name="Seniority.firstindex" localSheetId="4" hidden="1">"row"</definedName>
    <definedName name="Seniority.rowindex" localSheetId="4" hidden="1">asistan!$A$4:$A$41</definedName>
    <definedName name="Seniority.rowindex.dirn" localSheetId="4" hidden="1">"row"</definedName>
    <definedName name="solver_eng" localSheetId="0" hidden="1">1</definedName>
    <definedName name="solver_neg" localSheetId="0" hidden="1">1</definedName>
    <definedName name="solver_num" localSheetId="0" hidden="1">0</definedName>
    <definedName name="solver_opt" localSheetId="0" hidden="1">input!#REF!</definedName>
    <definedName name="solver_typ" localSheetId="0" hidden="1">1</definedName>
    <definedName name="solver_val" localSheetId="0" hidden="1">0</definedName>
    <definedName name="solver_ver" localSheetId="0" hidden="1">3</definedName>
    <definedName name="TimeInterval" localSheetId="4">asistan!$K$4:$K$23</definedName>
    <definedName name="TimeInterval" localSheetId="0">input!$L$22:$L$39</definedName>
    <definedName name="TimeInterval.dirn" localSheetId="4" hidden="1">"row"</definedName>
    <definedName name="TimeInterval.dirn" localSheetId="0" hidden="1">"row"</definedName>
    <definedName name="TimeInterval2" localSheetId="0">input!$AZ$4:$AZ$12</definedName>
    <definedName name="TimeInterval2.dirn" localSheetId="0" hidden="1">"row"</definedName>
    <definedName name="Total" localSheetId="4">asistan!$D$1</definedName>
    <definedName name="TotalAssignment" localSheetId="4">asistan!$D$4:$D$41</definedName>
    <definedName name="TotalAssignment.badindex" localSheetId="4" hidden="1">1</definedName>
    <definedName name="TotalAssignment.columnindex" localSheetId="4" hidden="1">asistan!$D$3</definedName>
    <definedName name="TotalAssignment.columnindex.dirn" localSheetId="4" hidden="1">"column"</definedName>
    <definedName name="TotalAssignment.firstindex" localSheetId="4" hidden="1">"row"</definedName>
    <definedName name="TotalAssignment.rowindex" localSheetId="4" hidden="1">asistan!$A$4:$A$41</definedName>
    <definedName name="TotalAssignment.rowindex.dirn" localSheetId="4" hidden="1">"row"</definedName>
    <definedName name="TURIZM1" localSheetId="0">input!$AW$4:$AW$21</definedName>
    <definedName name="TURIZM1.dirn" localSheetId="0" hidden="1">"row"</definedName>
    <definedName name="TURIZM2" localSheetId="0">input!$AX$4:$AX$21</definedName>
    <definedName name="TURIZM2.dirn" localSheetId="0" hidden="1">"row"</definedName>
    <definedName name="UndesiredDays" localSheetId="4">asistan!$N$4:$AB$41</definedName>
    <definedName name="UndesiredDays.badindex" localSheetId="4" hidden="1">1</definedName>
    <definedName name="UndesiredDays.columnindex" localSheetId="4" hidden="1">asistan!$N$3:$AB$3</definedName>
    <definedName name="UndesiredDays.columnindex.dirn" localSheetId="4" hidden="1">"column"</definedName>
    <definedName name="UndesiredDays.firstindex" localSheetId="4" hidden="1">"row"</definedName>
    <definedName name="UndesiredDays.rowindex" localSheetId="4" hidden="1">asistan!$M$4:$M$41</definedName>
    <definedName name="UndesiredDays.rowindex.dirn" localSheetId="4" hidden="1">"row"</definedName>
    <definedName name="Z03." localSheetId="4">output!$B$5:$K$22</definedName>
    <definedName name="Z03.badindex" localSheetId="4" hidden="1">1</definedName>
    <definedName name="Z03.columnindex" localSheetId="4" hidden="1">output!$B$4:$K$4</definedName>
    <definedName name="Z03.columnindex.dirn" localSheetId="4" hidden="1">"column"</definedName>
    <definedName name="Z03.firstindex" localSheetId="4" hidden="1">"row"</definedName>
    <definedName name="Z03.rowindex" localSheetId="4" hidden="1">output!$A$5:$A$22</definedName>
    <definedName name="Z03.rowindex.dirn" localSheetId="4" hidden="1">"row"</definedName>
    <definedName name="Z03DAYS" localSheetId="0">output!$B$4:$K$4</definedName>
    <definedName name="Z03DAYS.dirn" localSheetId="0" hidden="1">"column"</definedName>
    <definedName name="Z03TABLE" localSheetId="0">output!$B$5:$K$22</definedName>
    <definedName name="Z03TABLE.badindex" localSheetId="0" hidden="1">1</definedName>
    <definedName name="Z03TABLE.columnindex" localSheetId="0" hidden="1">output!$B$4:$K$4</definedName>
    <definedName name="Z03TABLE.columnindex.dirn" localSheetId="0" hidden="1">"column"</definedName>
    <definedName name="Z03TABLE.firstindex" localSheetId="0" hidden="1">"column"</definedName>
    <definedName name="Z03TABLE.rowindex" localSheetId="0" hidden="1">output!$A$5:$A$22</definedName>
    <definedName name="Z03TABLE.rowindex.dirn" localSheetId="0" hidden="1">"row"</definedName>
    <definedName name="Z03TIMEINTERVAL" localSheetId="0">output!$A$5:$A$22</definedName>
    <definedName name="Z03TIMEINTERVAL.dirn" localSheetId="0" hidden="1">"row"</definedName>
    <definedName name="Z04." localSheetId="4">output!$N$5:$W$22</definedName>
    <definedName name="Z04.badindex" localSheetId="4" hidden="1">1</definedName>
    <definedName name="Z04.columnindex" localSheetId="4" hidden="1">output!$N$4:$W$4</definedName>
    <definedName name="Z04.columnindex.dirn" localSheetId="4" hidden="1">"column"</definedName>
    <definedName name="Z04.firstindex" localSheetId="4" hidden="1">"row"</definedName>
    <definedName name="Z04.rowindex" localSheetId="4" hidden="1">output!$A$5:$A$22</definedName>
    <definedName name="Z04.rowindex.dirn" localSheetId="4" hidden="1">"row"</definedName>
    <definedName name="Z04DAYS" localSheetId="0">output!$N$4:$W$4</definedName>
    <definedName name="Z04DAYS.dirn" localSheetId="0" hidden="1">"column"</definedName>
    <definedName name="Z04TABLE" localSheetId="0">output!$N$5:$W$22</definedName>
    <definedName name="Z04TABLE.badindex" localSheetId="0" hidden="1">1</definedName>
    <definedName name="Z04TABLE.columnindex" localSheetId="0" hidden="1">output!$N$4:$W$4</definedName>
    <definedName name="Z04TABLE.columnindex.dirn" localSheetId="0" hidden="1">"column"</definedName>
    <definedName name="Z04TABLE.firstindex" localSheetId="0" hidden="1">"column"</definedName>
    <definedName name="Z04TABLE.rowindex" localSheetId="0" hidden="1">output!$M$5:$M$22</definedName>
    <definedName name="Z04TABLE.rowindex.dirn" localSheetId="0" hidden="1">"row"</definedName>
    <definedName name="Z04TIMEINTERVAL" localSheetId="0">output!$M$5:$M$22</definedName>
    <definedName name="Z04TIMEINTERVAL.dirn" localSheetId="0" hidden="1">"row"</definedName>
    <definedName name="Z05." localSheetId="4">output!$B$27:$K$44</definedName>
    <definedName name="Z05.badindex" localSheetId="4" hidden="1">1</definedName>
    <definedName name="Z05.columnindex" localSheetId="4" hidden="1">output!$B$26:$K$26</definedName>
    <definedName name="Z05.columnindex.dirn" localSheetId="4" hidden="1">"column"</definedName>
    <definedName name="Z05.firstindex" localSheetId="4" hidden="1">"row"</definedName>
    <definedName name="Z05.rowindex" localSheetId="4" hidden="1">output!$A$27:$A$44</definedName>
    <definedName name="Z05.rowindex.dirn" localSheetId="4" hidden="1">"row"</definedName>
    <definedName name="Z05DAYS" localSheetId="0">output!$B$26:$K$26</definedName>
    <definedName name="Z05DAYS.dirn" localSheetId="0" hidden="1">"column"</definedName>
    <definedName name="Z05TABLE" localSheetId="0">output!$B$27:$K$44</definedName>
    <definedName name="Z05TABLE.badindex" localSheetId="0" hidden="1">1</definedName>
    <definedName name="Z05TABLE.columnindex" localSheetId="0" hidden="1">output!$B$26:$K$26</definedName>
    <definedName name="Z05TABLE.columnindex.dirn" localSheetId="0" hidden="1">"column"</definedName>
    <definedName name="Z05TABLE.firstindex" localSheetId="0" hidden="1">"column"</definedName>
    <definedName name="Z05TABLE.rowindex" localSheetId="0" hidden="1">output!$A$27:$A$44</definedName>
    <definedName name="Z05TABLE.rowindex.dirn" localSheetId="0" hidden="1">"row"</definedName>
    <definedName name="Z05TIMEINTERVAL" localSheetId="0">output!$A$27:$A$44</definedName>
    <definedName name="Z05TIMEINTERVAL.dirn" localSheetId="0" hidden="1">"row"</definedName>
    <definedName name="Z06." localSheetId="4">output!$N$27:$W$44</definedName>
    <definedName name="Z06.badindex" localSheetId="4" hidden="1">1</definedName>
    <definedName name="Z06.columnindex" localSheetId="4" hidden="1">output!$N$26:$W$26</definedName>
    <definedName name="Z06.columnindex.dirn" localSheetId="4" hidden="1">"column"</definedName>
    <definedName name="Z06.firstindex" localSheetId="4" hidden="1">"row"</definedName>
    <definedName name="Z06.rowindex" localSheetId="4" hidden="1">output!$M$27:$M$44</definedName>
    <definedName name="Z06.rowindex.dirn" localSheetId="4" hidden="1">"row"</definedName>
    <definedName name="Z06DAYS" localSheetId="0">output!$N$26:$W$26</definedName>
    <definedName name="Z06DAYS.dirn" localSheetId="0" hidden="1">"column"</definedName>
    <definedName name="Z06TABLE" localSheetId="0">output!$N$27:$W$44</definedName>
    <definedName name="Z06TABLE.badindex" localSheetId="0" hidden="1">1</definedName>
    <definedName name="Z06TABLE.columnindex" localSheetId="0" hidden="1">output!$N$26:$W$26</definedName>
    <definedName name="Z06TABLE.columnindex.dirn" localSheetId="0" hidden="1">"column"</definedName>
    <definedName name="Z06TABLE.firstindex" localSheetId="0" hidden="1">"column"</definedName>
    <definedName name="Z06TABLE.rowindex" localSheetId="0" hidden="1">output!$M$27:$M$44</definedName>
    <definedName name="Z06TABLE.rowindex.dirn" localSheetId="0" hidden="1">"row"</definedName>
    <definedName name="Z06TIMEINTERVAL" localSheetId="0">output!$M$27:$M$44</definedName>
    <definedName name="Z06TIMEINTERVAL.dirn" localSheetId="0" hidden="1">"row"</definedName>
    <definedName name="Z07." localSheetId="4">output!$B$49:$K$66</definedName>
    <definedName name="Z07.badindex" localSheetId="4" hidden="1">1</definedName>
    <definedName name="Z07.columnindex" localSheetId="4" hidden="1">output!$B$48:$K$48</definedName>
    <definedName name="Z07.columnindex.dirn" localSheetId="4" hidden="1">"column"</definedName>
    <definedName name="Z07.firstindex" localSheetId="4" hidden="1">"row"</definedName>
    <definedName name="Z07.rowindex" localSheetId="4" hidden="1">output!$A$49:$A$66</definedName>
    <definedName name="Z07.rowindex.dirn" localSheetId="4" hidden="1">"row"</definedName>
    <definedName name="Z07DAYS" localSheetId="0">output!$B$48:$K$48</definedName>
    <definedName name="Z07DAYS.dirn" localSheetId="0" hidden="1">"column"</definedName>
    <definedName name="Z07TABLE" localSheetId="0">output!$B$49:$K$66</definedName>
    <definedName name="Z07TABLE.badindex" localSheetId="0" hidden="1">1</definedName>
    <definedName name="Z07TABLE.columnindex" localSheetId="0" hidden="1">output!$B$48:$K$48</definedName>
    <definedName name="Z07TABLE.columnindex.dirn" localSheetId="0" hidden="1">"column"</definedName>
    <definedName name="Z07TABLE.firstindex" localSheetId="0" hidden="1">"column"</definedName>
    <definedName name="Z07TABLE.rowindex" localSheetId="0" hidden="1">output!$A$49:$A$66</definedName>
    <definedName name="Z07TABLE.rowindex.dirn" localSheetId="0" hidden="1">"row"</definedName>
    <definedName name="Z07TIMEINTERVAL" localSheetId="0">output!$A$49:$A$66</definedName>
    <definedName name="Z07TIMEINTERVAL.dirn" localSheetId="0" hidden="1">"row"</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42" i="6" l="1"/>
  <c r="A42" i="6"/>
  <c r="L6" i="2"/>
  <c r="L5" i="2"/>
  <c r="L7" i="2" l="1"/>
  <c r="C1" i="6" s="1"/>
  <c r="D43" i="6" s="1"/>
  <c r="AG153" i="5"/>
  <c r="AF153" i="5"/>
  <c r="AE153" i="5"/>
  <c r="AD153" i="5"/>
  <c r="AC153" i="5"/>
  <c r="AB153" i="5"/>
  <c r="AA153" i="5"/>
  <c r="Z153" i="5"/>
  <c r="AG152" i="5"/>
  <c r="AF152" i="5"/>
  <c r="AE152" i="5"/>
  <c r="AD152" i="5"/>
  <c r="AC152" i="5"/>
  <c r="AB152" i="5"/>
  <c r="AA152" i="5"/>
  <c r="Z152" i="5"/>
  <c r="AG151" i="5"/>
  <c r="AF151" i="5"/>
  <c r="AE151" i="5"/>
  <c r="AD151" i="5"/>
  <c r="AC151" i="5"/>
  <c r="AB151" i="5"/>
  <c r="AA151" i="5"/>
  <c r="Z151" i="5"/>
  <c r="AG150" i="5"/>
  <c r="AF150" i="5"/>
  <c r="AE150" i="5"/>
  <c r="AD150" i="5"/>
  <c r="AC150" i="5"/>
  <c r="AB150" i="5"/>
  <c r="AA150" i="5"/>
  <c r="Z150" i="5"/>
  <c r="AG149" i="5"/>
  <c r="AF149" i="5"/>
  <c r="AE149" i="5"/>
  <c r="AD149" i="5"/>
  <c r="AC149" i="5"/>
  <c r="AB149" i="5"/>
  <c r="AA149" i="5"/>
  <c r="Z149" i="5"/>
  <c r="AG148" i="5"/>
  <c r="AF148" i="5"/>
  <c r="AE148" i="5"/>
  <c r="AD148" i="5"/>
  <c r="AC148" i="5"/>
  <c r="AB148" i="5"/>
  <c r="AA148" i="5"/>
  <c r="Z148" i="5"/>
  <c r="AG147" i="5"/>
  <c r="AF147" i="5"/>
  <c r="AE147" i="5"/>
  <c r="AD147" i="5"/>
  <c r="AC147" i="5"/>
  <c r="AB147" i="5"/>
  <c r="AA147" i="5"/>
  <c r="Z147" i="5"/>
  <c r="AG146" i="5"/>
  <c r="AF146" i="5"/>
  <c r="AE146" i="5"/>
  <c r="AD146" i="5"/>
  <c r="AC146" i="5"/>
  <c r="AB146" i="5"/>
  <c r="AA146" i="5"/>
  <c r="Z146" i="5"/>
  <c r="AG145" i="5"/>
  <c r="AF145" i="5"/>
  <c r="AE145" i="5"/>
  <c r="AD145" i="5"/>
  <c r="AC145" i="5"/>
  <c r="AB145" i="5"/>
  <c r="AA145" i="5"/>
  <c r="Z145" i="5"/>
  <c r="AG144" i="5"/>
  <c r="AF144" i="5"/>
  <c r="AE144" i="5"/>
  <c r="AD144" i="5"/>
  <c r="AC144" i="5"/>
  <c r="AB144" i="5"/>
  <c r="AA144" i="5"/>
  <c r="Z144" i="5"/>
  <c r="AG143" i="5"/>
  <c r="AF143" i="5"/>
  <c r="AE143" i="5"/>
  <c r="AD143" i="5"/>
  <c r="AC143" i="5"/>
  <c r="AB143" i="5"/>
  <c r="AA143" i="5"/>
  <c r="Z143" i="5"/>
  <c r="AG142" i="5"/>
  <c r="AF142" i="5"/>
  <c r="AE142" i="5"/>
  <c r="AD142" i="5"/>
  <c r="AC142" i="5"/>
  <c r="AB142" i="5"/>
  <c r="AA142" i="5"/>
  <c r="Z142" i="5"/>
  <c r="AG141" i="5"/>
  <c r="AF141" i="5"/>
  <c r="AE141" i="5"/>
  <c r="AD141" i="5"/>
  <c r="AC141" i="5"/>
  <c r="AB141" i="5"/>
  <c r="AA141" i="5"/>
  <c r="Z141" i="5"/>
  <c r="AG140" i="5"/>
  <c r="AF140" i="5"/>
  <c r="AE140" i="5"/>
  <c r="AD140" i="5"/>
  <c r="AC140" i="5"/>
  <c r="AB140" i="5"/>
  <c r="AA140" i="5"/>
  <c r="Z140" i="5"/>
  <c r="AG139" i="5"/>
  <c r="AF139" i="5"/>
  <c r="AE139" i="5"/>
  <c r="AD139" i="5"/>
  <c r="AC139" i="5"/>
  <c r="AB139" i="5"/>
  <c r="AA139" i="5"/>
  <c r="Z139" i="5"/>
  <c r="AG138" i="5"/>
  <c r="AF138" i="5"/>
  <c r="AE138" i="5"/>
  <c r="AD138" i="5"/>
  <c r="AC138" i="5"/>
  <c r="AB138" i="5"/>
  <c r="AA138" i="5"/>
  <c r="Z138" i="5"/>
  <c r="AG137" i="5"/>
  <c r="AF137" i="5"/>
  <c r="AE137" i="5"/>
  <c r="AD137" i="5"/>
  <c r="AC137" i="5"/>
  <c r="AB137" i="5"/>
  <c r="AA137" i="5"/>
  <c r="Z137" i="5"/>
  <c r="AG136" i="5"/>
  <c r="AF136" i="5"/>
  <c r="AE136" i="5"/>
  <c r="AD136" i="5"/>
  <c r="AC136" i="5"/>
  <c r="AB136" i="5"/>
  <c r="AA136" i="5"/>
  <c r="Z136" i="5"/>
  <c r="AG131" i="5"/>
  <c r="AF131" i="5"/>
  <c r="AE131" i="5"/>
  <c r="AD131" i="5"/>
  <c r="AC131" i="5"/>
  <c r="AB131" i="5"/>
  <c r="AA131" i="5"/>
  <c r="Z131" i="5"/>
  <c r="AG130" i="5"/>
  <c r="AF130" i="5"/>
  <c r="AE130" i="5"/>
  <c r="AD130" i="5"/>
  <c r="AC130" i="5"/>
  <c r="AB130" i="5"/>
  <c r="AA130" i="5"/>
  <c r="Z130" i="5"/>
  <c r="AG129" i="5"/>
  <c r="AF129" i="5"/>
  <c r="AE129" i="5"/>
  <c r="AD129" i="5"/>
  <c r="AC129" i="5"/>
  <c r="AB129" i="5"/>
  <c r="AA129" i="5"/>
  <c r="Z129" i="5"/>
  <c r="AG128" i="5"/>
  <c r="AF128" i="5"/>
  <c r="AE128" i="5"/>
  <c r="AD128" i="5"/>
  <c r="AC128" i="5"/>
  <c r="AB128" i="5"/>
  <c r="AA128" i="5"/>
  <c r="Z128" i="5"/>
  <c r="AG127" i="5"/>
  <c r="AF127" i="5"/>
  <c r="AE127" i="5"/>
  <c r="AD127" i="5"/>
  <c r="AC127" i="5"/>
  <c r="AB127" i="5"/>
  <c r="AA127" i="5"/>
  <c r="Z127" i="5"/>
  <c r="AG126" i="5"/>
  <c r="AF126" i="5"/>
  <c r="AE126" i="5"/>
  <c r="AD126" i="5"/>
  <c r="AC126" i="5"/>
  <c r="AB126" i="5"/>
  <c r="AA126" i="5"/>
  <c r="Z126" i="5"/>
  <c r="AG125" i="5"/>
  <c r="AF125" i="5"/>
  <c r="AE125" i="5"/>
  <c r="AD125" i="5"/>
  <c r="AC125" i="5"/>
  <c r="AB125" i="5"/>
  <c r="AA125" i="5"/>
  <c r="Z125" i="5"/>
  <c r="AG124" i="5"/>
  <c r="AF124" i="5"/>
  <c r="AE124" i="5"/>
  <c r="AD124" i="5"/>
  <c r="AC124" i="5"/>
  <c r="AB124" i="5"/>
  <c r="AA124" i="5"/>
  <c r="Z124" i="5"/>
  <c r="AG123" i="5"/>
  <c r="AF123" i="5"/>
  <c r="AE123" i="5"/>
  <c r="AD123" i="5"/>
  <c r="AC123" i="5"/>
  <c r="AB123" i="5"/>
  <c r="AA123" i="5"/>
  <c r="Z123" i="5"/>
  <c r="AG122" i="5"/>
  <c r="AF122" i="5"/>
  <c r="AE122" i="5"/>
  <c r="AD122" i="5"/>
  <c r="AC122" i="5"/>
  <c r="AB122" i="5"/>
  <c r="AA122" i="5"/>
  <c r="Z122" i="5"/>
  <c r="AG121" i="5"/>
  <c r="AF121" i="5"/>
  <c r="AE121" i="5"/>
  <c r="AD121" i="5"/>
  <c r="AC121" i="5"/>
  <c r="AB121" i="5"/>
  <c r="AA121" i="5"/>
  <c r="Z121" i="5"/>
  <c r="AG120" i="5"/>
  <c r="AF120" i="5"/>
  <c r="AE120" i="5"/>
  <c r="AD120" i="5"/>
  <c r="AC120" i="5"/>
  <c r="AB120" i="5"/>
  <c r="AA120" i="5"/>
  <c r="Z120" i="5"/>
  <c r="AG119" i="5"/>
  <c r="AF119" i="5"/>
  <c r="AE119" i="5"/>
  <c r="AD119" i="5"/>
  <c r="AC119" i="5"/>
  <c r="AB119" i="5"/>
  <c r="AA119" i="5"/>
  <c r="Z119" i="5"/>
  <c r="AG118" i="5"/>
  <c r="AF118" i="5"/>
  <c r="AE118" i="5"/>
  <c r="AD118" i="5"/>
  <c r="AC118" i="5"/>
  <c r="AB118" i="5"/>
  <c r="AA118" i="5"/>
  <c r="Z118" i="5"/>
  <c r="AG117" i="5"/>
  <c r="AF117" i="5"/>
  <c r="AE117" i="5"/>
  <c r="AD117" i="5"/>
  <c r="AC117" i="5"/>
  <c r="AB117" i="5"/>
  <c r="AA117" i="5"/>
  <c r="Z117" i="5"/>
  <c r="AG116" i="5"/>
  <c r="AF116" i="5"/>
  <c r="AE116" i="5"/>
  <c r="AD116" i="5"/>
  <c r="AC116" i="5"/>
  <c r="AB116" i="5"/>
  <c r="AA116" i="5"/>
  <c r="Z116" i="5"/>
  <c r="AG115" i="5"/>
  <c r="AF115" i="5"/>
  <c r="AE115" i="5"/>
  <c r="AD115" i="5"/>
  <c r="AC115" i="5"/>
  <c r="AB115" i="5"/>
  <c r="AA115" i="5"/>
  <c r="Z115" i="5"/>
  <c r="AG114" i="5"/>
  <c r="AF114" i="5"/>
  <c r="AE114" i="5"/>
  <c r="AD114" i="5"/>
  <c r="AC114" i="5"/>
  <c r="AB114" i="5"/>
  <c r="AA114" i="5"/>
  <c r="Z114" i="5"/>
  <c r="AG109" i="5"/>
  <c r="AF109" i="5"/>
  <c r="AE109" i="5"/>
  <c r="AD109" i="5"/>
  <c r="AC109" i="5"/>
  <c r="AB109" i="5"/>
  <c r="AA109" i="5"/>
  <c r="Z109" i="5"/>
  <c r="AG108" i="5"/>
  <c r="AF108" i="5"/>
  <c r="AE108" i="5"/>
  <c r="AD108" i="5"/>
  <c r="AC108" i="5"/>
  <c r="AB108" i="5"/>
  <c r="AA108" i="5"/>
  <c r="Z108" i="5"/>
  <c r="AG107" i="5"/>
  <c r="AF107" i="5"/>
  <c r="AE107" i="5"/>
  <c r="AD107" i="5"/>
  <c r="AC107" i="5"/>
  <c r="AB107" i="5"/>
  <c r="AA107" i="5"/>
  <c r="Z107" i="5"/>
  <c r="AG106" i="5"/>
  <c r="AF106" i="5"/>
  <c r="AE106" i="5"/>
  <c r="AD106" i="5"/>
  <c r="AC106" i="5"/>
  <c r="AB106" i="5"/>
  <c r="AA106" i="5"/>
  <c r="Z106" i="5"/>
  <c r="AG105" i="5"/>
  <c r="AF105" i="5"/>
  <c r="AE105" i="5"/>
  <c r="AD105" i="5"/>
  <c r="AC105" i="5"/>
  <c r="AB105" i="5"/>
  <c r="AA105" i="5"/>
  <c r="Z105" i="5"/>
  <c r="AG104" i="5"/>
  <c r="AF104" i="5"/>
  <c r="AE104" i="5"/>
  <c r="AD104" i="5"/>
  <c r="AC104" i="5"/>
  <c r="AB104" i="5"/>
  <c r="AA104" i="5"/>
  <c r="Z104" i="5"/>
  <c r="AG103" i="5"/>
  <c r="AF103" i="5"/>
  <c r="AE103" i="5"/>
  <c r="AD103" i="5"/>
  <c r="AC103" i="5"/>
  <c r="AB103" i="5"/>
  <c r="AA103" i="5"/>
  <c r="Z103" i="5"/>
  <c r="AG102" i="5"/>
  <c r="AF102" i="5"/>
  <c r="AE102" i="5"/>
  <c r="AD102" i="5"/>
  <c r="AC102" i="5"/>
  <c r="AB102" i="5"/>
  <c r="AA102" i="5"/>
  <c r="Z102" i="5"/>
  <c r="AG101" i="5"/>
  <c r="AF101" i="5"/>
  <c r="AE101" i="5"/>
  <c r="AD101" i="5"/>
  <c r="AC101" i="5"/>
  <c r="AB101" i="5"/>
  <c r="AA101" i="5"/>
  <c r="Z101" i="5"/>
  <c r="AG100" i="5"/>
  <c r="AF100" i="5"/>
  <c r="AE100" i="5"/>
  <c r="AD100" i="5"/>
  <c r="AC100" i="5"/>
  <c r="AB100" i="5"/>
  <c r="AA100" i="5"/>
  <c r="Z100" i="5"/>
  <c r="AG99" i="5"/>
  <c r="AF99" i="5"/>
  <c r="AE99" i="5"/>
  <c r="AD99" i="5"/>
  <c r="AC99" i="5"/>
  <c r="AB99" i="5"/>
  <c r="AA99" i="5"/>
  <c r="Z99" i="5"/>
  <c r="AG98" i="5"/>
  <c r="AF98" i="5"/>
  <c r="AE98" i="5"/>
  <c r="AD98" i="5"/>
  <c r="AC98" i="5"/>
  <c r="AB98" i="5"/>
  <c r="AA98" i="5"/>
  <c r="Z98" i="5"/>
  <c r="AG97" i="5"/>
  <c r="AF97" i="5"/>
  <c r="AE97" i="5"/>
  <c r="AD97" i="5"/>
  <c r="AC97" i="5"/>
  <c r="AB97" i="5"/>
  <c r="AA97" i="5"/>
  <c r="Z97" i="5"/>
  <c r="AG96" i="5"/>
  <c r="AF96" i="5"/>
  <c r="AE96" i="5"/>
  <c r="AD96" i="5"/>
  <c r="AC96" i="5"/>
  <c r="AB96" i="5"/>
  <c r="AA96" i="5"/>
  <c r="Z96" i="5"/>
  <c r="AG95" i="5"/>
  <c r="AF95" i="5"/>
  <c r="AE95" i="5"/>
  <c r="AD95" i="5"/>
  <c r="AC95" i="5"/>
  <c r="AB95" i="5"/>
  <c r="AA95" i="5"/>
  <c r="Z95" i="5"/>
  <c r="AG94" i="5"/>
  <c r="AF94" i="5"/>
  <c r="AE94" i="5"/>
  <c r="AD94" i="5"/>
  <c r="AC94" i="5"/>
  <c r="AB94" i="5"/>
  <c r="AA94" i="5"/>
  <c r="Z94" i="5"/>
  <c r="AG93" i="5"/>
  <c r="AF93" i="5"/>
  <c r="AE93" i="5"/>
  <c r="AD93" i="5"/>
  <c r="AC93" i="5"/>
  <c r="AB93" i="5"/>
  <c r="AA93" i="5"/>
  <c r="Z93" i="5"/>
  <c r="AG92" i="5"/>
  <c r="AF92" i="5"/>
  <c r="AE92" i="5"/>
  <c r="AD92" i="5"/>
  <c r="AC92" i="5"/>
  <c r="AB92" i="5"/>
  <c r="AA92" i="5"/>
  <c r="Z92" i="5"/>
  <c r="AG87" i="5"/>
  <c r="AF87" i="5"/>
  <c r="AE87" i="5"/>
  <c r="AD87" i="5"/>
  <c r="AC87" i="5"/>
  <c r="AB87" i="5"/>
  <c r="AA87" i="5"/>
  <c r="Z87" i="5"/>
  <c r="AG86" i="5"/>
  <c r="AF86" i="5"/>
  <c r="AE86" i="5"/>
  <c r="AD86" i="5"/>
  <c r="AC86" i="5"/>
  <c r="AB86" i="5"/>
  <c r="AA86" i="5"/>
  <c r="Z86" i="5"/>
  <c r="AG85" i="5"/>
  <c r="AF85" i="5"/>
  <c r="AE85" i="5"/>
  <c r="AD85" i="5"/>
  <c r="AC85" i="5"/>
  <c r="AB85" i="5"/>
  <c r="AA85" i="5"/>
  <c r="Z85" i="5"/>
  <c r="AG84" i="5"/>
  <c r="AF84" i="5"/>
  <c r="AE84" i="5"/>
  <c r="AD84" i="5"/>
  <c r="AC84" i="5"/>
  <c r="AB84" i="5"/>
  <c r="AA84" i="5"/>
  <c r="Z84" i="5"/>
  <c r="AG83" i="5"/>
  <c r="AF83" i="5"/>
  <c r="AE83" i="5"/>
  <c r="AD83" i="5"/>
  <c r="AC83" i="5"/>
  <c r="AB83" i="5"/>
  <c r="AA83" i="5"/>
  <c r="Z83" i="5"/>
  <c r="AG82" i="5"/>
  <c r="AF82" i="5"/>
  <c r="AE82" i="5"/>
  <c r="AD82" i="5"/>
  <c r="AC82" i="5"/>
  <c r="AB82" i="5"/>
  <c r="AA82" i="5"/>
  <c r="Z82" i="5"/>
  <c r="AG81" i="5"/>
  <c r="AF81" i="5"/>
  <c r="AE81" i="5"/>
  <c r="AD81" i="5"/>
  <c r="AC81" i="5"/>
  <c r="AB81" i="5"/>
  <c r="AA81" i="5"/>
  <c r="Z81" i="5"/>
  <c r="AG80" i="5"/>
  <c r="AF80" i="5"/>
  <c r="AE80" i="5"/>
  <c r="AD80" i="5"/>
  <c r="AC80" i="5"/>
  <c r="AB80" i="5"/>
  <c r="AA80" i="5"/>
  <c r="Z80" i="5"/>
  <c r="AG79" i="5"/>
  <c r="AF79" i="5"/>
  <c r="AE79" i="5"/>
  <c r="AD79" i="5"/>
  <c r="AC79" i="5"/>
  <c r="AB79" i="5"/>
  <c r="AA79" i="5"/>
  <c r="Z79" i="5"/>
  <c r="AG78" i="5"/>
  <c r="AF78" i="5"/>
  <c r="AE78" i="5"/>
  <c r="AD78" i="5"/>
  <c r="AC78" i="5"/>
  <c r="AB78" i="5"/>
  <c r="AA78" i="5"/>
  <c r="Z78" i="5"/>
  <c r="AG77" i="5"/>
  <c r="AF77" i="5"/>
  <c r="AE77" i="5"/>
  <c r="AD77" i="5"/>
  <c r="AC77" i="5"/>
  <c r="AB77" i="5"/>
  <c r="AA77" i="5"/>
  <c r="Z77" i="5"/>
  <c r="AG76" i="5"/>
  <c r="AF76" i="5"/>
  <c r="AE76" i="5"/>
  <c r="AD76" i="5"/>
  <c r="AC76" i="5"/>
  <c r="AB76" i="5"/>
  <c r="AA76" i="5"/>
  <c r="Z76" i="5"/>
  <c r="AG75" i="5"/>
  <c r="AF75" i="5"/>
  <c r="AE75" i="5"/>
  <c r="AD75" i="5"/>
  <c r="AC75" i="5"/>
  <c r="AB75" i="5"/>
  <c r="AA75" i="5"/>
  <c r="Z75" i="5"/>
  <c r="AG74" i="5"/>
  <c r="AF74" i="5"/>
  <c r="AE74" i="5"/>
  <c r="AD74" i="5"/>
  <c r="AC74" i="5"/>
  <c r="AB74" i="5"/>
  <c r="AA74" i="5"/>
  <c r="Z74" i="5"/>
  <c r="AG73" i="5"/>
  <c r="AF73" i="5"/>
  <c r="AE73" i="5"/>
  <c r="AD73" i="5"/>
  <c r="AC73" i="5"/>
  <c r="AB73" i="5"/>
  <c r="AA73" i="5"/>
  <c r="Z73" i="5"/>
  <c r="AG72" i="5"/>
  <c r="AF72" i="5"/>
  <c r="AE72" i="5"/>
  <c r="AD72" i="5"/>
  <c r="AC72" i="5"/>
  <c r="AB72" i="5"/>
  <c r="AA72" i="5"/>
  <c r="Z72" i="5"/>
  <c r="AG71" i="5"/>
  <c r="AF71" i="5"/>
  <c r="AE71" i="5"/>
  <c r="AD71" i="5"/>
  <c r="AC71" i="5"/>
  <c r="AB71" i="5"/>
  <c r="AA71" i="5"/>
  <c r="Z71" i="5"/>
  <c r="AG70" i="5"/>
  <c r="AF70" i="5"/>
  <c r="AE70" i="5"/>
  <c r="AD70" i="5"/>
  <c r="AC70" i="5"/>
  <c r="AB70" i="5"/>
  <c r="AA70" i="5"/>
  <c r="Z70" i="5"/>
  <c r="AG65" i="5"/>
  <c r="AF65" i="5"/>
  <c r="AE65" i="5"/>
  <c r="AD65" i="5"/>
  <c r="AC65" i="5"/>
  <c r="AB65" i="5"/>
  <c r="AA65" i="5"/>
  <c r="Z65" i="5"/>
  <c r="AG64" i="5"/>
  <c r="AF64" i="5"/>
  <c r="AE64" i="5"/>
  <c r="AD64" i="5"/>
  <c r="AC64" i="5"/>
  <c r="AB64" i="5"/>
  <c r="AA64" i="5"/>
  <c r="Z64" i="5"/>
  <c r="AG63" i="5"/>
  <c r="AF63" i="5"/>
  <c r="AE63" i="5"/>
  <c r="AD63" i="5"/>
  <c r="AC63" i="5"/>
  <c r="AB63" i="5"/>
  <c r="AA63" i="5"/>
  <c r="Z63" i="5"/>
  <c r="AG62" i="5"/>
  <c r="AF62" i="5"/>
  <c r="AE62" i="5"/>
  <c r="AD62" i="5"/>
  <c r="AC62" i="5"/>
  <c r="AB62" i="5"/>
  <c r="AA62" i="5"/>
  <c r="Z62" i="5"/>
  <c r="AG61" i="5"/>
  <c r="AF61" i="5"/>
  <c r="AE61" i="5"/>
  <c r="AD61" i="5"/>
  <c r="AC61" i="5"/>
  <c r="AB61" i="5"/>
  <c r="AA61" i="5"/>
  <c r="Z61" i="5"/>
  <c r="AG60" i="5"/>
  <c r="AF60" i="5"/>
  <c r="AE60" i="5"/>
  <c r="AD60" i="5"/>
  <c r="AC60" i="5"/>
  <c r="AB60" i="5"/>
  <c r="AA60" i="5"/>
  <c r="Z60" i="5"/>
  <c r="AG59" i="5"/>
  <c r="AF59" i="5"/>
  <c r="AE59" i="5"/>
  <c r="AD59" i="5"/>
  <c r="AC59" i="5"/>
  <c r="AB59" i="5"/>
  <c r="AA59" i="5"/>
  <c r="Z59" i="5"/>
  <c r="AG58" i="5"/>
  <c r="AF58" i="5"/>
  <c r="AE58" i="5"/>
  <c r="AD58" i="5"/>
  <c r="AC58" i="5"/>
  <c r="AB58" i="5"/>
  <c r="AA58" i="5"/>
  <c r="Z58" i="5"/>
  <c r="AG57" i="5"/>
  <c r="AF57" i="5"/>
  <c r="AE57" i="5"/>
  <c r="AD57" i="5"/>
  <c r="AC57" i="5"/>
  <c r="AB57" i="5"/>
  <c r="AA57" i="5"/>
  <c r="Z57" i="5"/>
  <c r="AG56" i="5"/>
  <c r="AF56" i="5"/>
  <c r="AE56" i="5"/>
  <c r="AD56" i="5"/>
  <c r="AC56" i="5"/>
  <c r="AB56" i="5"/>
  <c r="AA56" i="5"/>
  <c r="Z56" i="5"/>
  <c r="AG55" i="5"/>
  <c r="AF55" i="5"/>
  <c r="AE55" i="5"/>
  <c r="AD55" i="5"/>
  <c r="AC55" i="5"/>
  <c r="AB55" i="5"/>
  <c r="AA55" i="5"/>
  <c r="Z55" i="5"/>
  <c r="AG54" i="5"/>
  <c r="AF54" i="5"/>
  <c r="AE54" i="5"/>
  <c r="AD54" i="5"/>
  <c r="AC54" i="5"/>
  <c r="AB54" i="5"/>
  <c r="AA54" i="5"/>
  <c r="Z54" i="5"/>
  <c r="AG53" i="5"/>
  <c r="AF53" i="5"/>
  <c r="AE53" i="5"/>
  <c r="AD53" i="5"/>
  <c r="AC53" i="5"/>
  <c r="AB53" i="5"/>
  <c r="AA53" i="5"/>
  <c r="Z53" i="5"/>
  <c r="AG52" i="5"/>
  <c r="AF52" i="5"/>
  <c r="AE52" i="5"/>
  <c r="AD52" i="5"/>
  <c r="AC52" i="5"/>
  <c r="AB52" i="5"/>
  <c r="AA52" i="5"/>
  <c r="Z52" i="5"/>
  <c r="AG51" i="5"/>
  <c r="AF51" i="5"/>
  <c r="AE51" i="5"/>
  <c r="AD51" i="5"/>
  <c r="AC51" i="5"/>
  <c r="AB51" i="5"/>
  <c r="AA51" i="5"/>
  <c r="Z51" i="5"/>
  <c r="AG50" i="5"/>
  <c r="AF50" i="5"/>
  <c r="AE50" i="5"/>
  <c r="AD50" i="5"/>
  <c r="AC50" i="5"/>
  <c r="AB50" i="5"/>
  <c r="AA50" i="5"/>
  <c r="Z50" i="5"/>
  <c r="AG49" i="5"/>
  <c r="AF49" i="5"/>
  <c r="AE49" i="5"/>
  <c r="AD49" i="5"/>
  <c r="AC49" i="5"/>
  <c r="AB49" i="5"/>
  <c r="AA49" i="5"/>
  <c r="Z49" i="5"/>
  <c r="AG48" i="5"/>
  <c r="AF48" i="5"/>
  <c r="AE48" i="5"/>
  <c r="AD48" i="5"/>
  <c r="AC48" i="5"/>
  <c r="AB48" i="5"/>
  <c r="AA48" i="5"/>
  <c r="Z48" i="5"/>
  <c r="AG43" i="5"/>
  <c r="AF43" i="5"/>
  <c r="AE43" i="5"/>
  <c r="AD43" i="5"/>
  <c r="AC43" i="5"/>
  <c r="AB43" i="5"/>
  <c r="AA43" i="5"/>
  <c r="Z43" i="5"/>
  <c r="AG42" i="5"/>
  <c r="AF42" i="5"/>
  <c r="AE42" i="5"/>
  <c r="AD42" i="5"/>
  <c r="AC42" i="5"/>
  <c r="AB42" i="5"/>
  <c r="AA42" i="5"/>
  <c r="Z42" i="5"/>
  <c r="AG41" i="5"/>
  <c r="AF41" i="5"/>
  <c r="AE41" i="5"/>
  <c r="AD41" i="5"/>
  <c r="AC41" i="5"/>
  <c r="AB41" i="5"/>
  <c r="AA41" i="5"/>
  <c r="Z41" i="5"/>
  <c r="AG40" i="5"/>
  <c r="AF40" i="5"/>
  <c r="AE40" i="5"/>
  <c r="AD40" i="5"/>
  <c r="AC40" i="5"/>
  <c r="AB40" i="5"/>
  <c r="AA40" i="5"/>
  <c r="Z40" i="5"/>
  <c r="AG39" i="5"/>
  <c r="AF39" i="5"/>
  <c r="AE39" i="5"/>
  <c r="AD39" i="5"/>
  <c r="AC39" i="5"/>
  <c r="AB39" i="5"/>
  <c r="AA39" i="5"/>
  <c r="Z39" i="5"/>
  <c r="AG38" i="5"/>
  <c r="AF38" i="5"/>
  <c r="AE38" i="5"/>
  <c r="AD38" i="5"/>
  <c r="AC38" i="5"/>
  <c r="AB38" i="5"/>
  <c r="AA38" i="5"/>
  <c r="Z38" i="5"/>
  <c r="AG37" i="5"/>
  <c r="AF37" i="5"/>
  <c r="AE37" i="5"/>
  <c r="AD37" i="5"/>
  <c r="AC37" i="5"/>
  <c r="AB37" i="5"/>
  <c r="AA37" i="5"/>
  <c r="Z37" i="5"/>
  <c r="AG36" i="5"/>
  <c r="AF36" i="5"/>
  <c r="AE36" i="5"/>
  <c r="AD36" i="5"/>
  <c r="AC36" i="5"/>
  <c r="AB36" i="5"/>
  <c r="AA36" i="5"/>
  <c r="Z36" i="5"/>
  <c r="AG35" i="5"/>
  <c r="AF35" i="5"/>
  <c r="AE35" i="5"/>
  <c r="AD35" i="5"/>
  <c r="AC35" i="5"/>
  <c r="AB35" i="5"/>
  <c r="AA35" i="5"/>
  <c r="Z35" i="5"/>
  <c r="AG34" i="5"/>
  <c r="AF34" i="5"/>
  <c r="AE34" i="5"/>
  <c r="AD34" i="5"/>
  <c r="AC34" i="5"/>
  <c r="AB34" i="5"/>
  <c r="AA34" i="5"/>
  <c r="Z34" i="5"/>
  <c r="AG33" i="5"/>
  <c r="AF33" i="5"/>
  <c r="AE33" i="5"/>
  <c r="AD33" i="5"/>
  <c r="AC33" i="5"/>
  <c r="AB33" i="5"/>
  <c r="AA33" i="5"/>
  <c r="Z33" i="5"/>
  <c r="AG32" i="5"/>
  <c r="AF32" i="5"/>
  <c r="AE32" i="5"/>
  <c r="AD32" i="5"/>
  <c r="AC32" i="5"/>
  <c r="AB32" i="5"/>
  <c r="AA32" i="5"/>
  <c r="Z32" i="5"/>
  <c r="AG31" i="5"/>
  <c r="AF31" i="5"/>
  <c r="AE31" i="5"/>
  <c r="AD31" i="5"/>
  <c r="AC31" i="5"/>
  <c r="AB31" i="5"/>
  <c r="AA31" i="5"/>
  <c r="Z31" i="5"/>
  <c r="AG30" i="5"/>
  <c r="AF30" i="5"/>
  <c r="AE30" i="5"/>
  <c r="AD30" i="5"/>
  <c r="AC30" i="5"/>
  <c r="AB30" i="5"/>
  <c r="AA30" i="5"/>
  <c r="Z30" i="5"/>
  <c r="AG29" i="5"/>
  <c r="AF29" i="5"/>
  <c r="AE29" i="5"/>
  <c r="AD29" i="5"/>
  <c r="AC29" i="5"/>
  <c r="AB29" i="5"/>
  <c r="AA29" i="5"/>
  <c r="Z29" i="5"/>
  <c r="AG28" i="5"/>
  <c r="AF28" i="5"/>
  <c r="AE28" i="5"/>
  <c r="AD28" i="5"/>
  <c r="AC28" i="5"/>
  <c r="AB28" i="5"/>
  <c r="AA28" i="5"/>
  <c r="Z28" i="5"/>
  <c r="AG27" i="5"/>
  <c r="AF27" i="5"/>
  <c r="AE27" i="5"/>
  <c r="AD27" i="5"/>
  <c r="AC27" i="5"/>
  <c r="AB27" i="5"/>
  <c r="AA27" i="5"/>
  <c r="Z27" i="5"/>
  <c r="AG26" i="5"/>
  <c r="AF26" i="5"/>
  <c r="AE26" i="5"/>
  <c r="AD26" i="5"/>
  <c r="AC26" i="5"/>
  <c r="AB26" i="5"/>
  <c r="AA26" i="5"/>
  <c r="Z26" i="5"/>
  <c r="AI21" i="5"/>
  <c r="AH21" i="5"/>
  <c r="AG21" i="5"/>
  <c r="AF21" i="5"/>
  <c r="AE21" i="5"/>
  <c r="AD21" i="5"/>
  <c r="AC21" i="5"/>
  <c r="AB21" i="5"/>
  <c r="AA21" i="5"/>
  <c r="Z21" i="5"/>
  <c r="AI20" i="5"/>
  <c r="AH20" i="5"/>
  <c r="AG20" i="5"/>
  <c r="AF20" i="5"/>
  <c r="AE20" i="5"/>
  <c r="AD20" i="5"/>
  <c r="AC20" i="5"/>
  <c r="AB20" i="5"/>
  <c r="AA20" i="5"/>
  <c r="Z20" i="5"/>
  <c r="AI19" i="5"/>
  <c r="AH19" i="5"/>
  <c r="AG19" i="5"/>
  <c r="AF19" i="5"/>
  <c r="AE19" i="5"/>
  <c r="AD19" i="5"/>
  <c r="AC19" i="5"/>
  <c r="AB19" i="5"/>
  <c r="AA19" i="5"/>
  <c r="Z19" i="5"/>
  <c r="AI18" i="5"/>
  <c r="AH18" i="5"/>
  <c r="AG18" i="5"/>
  <c r="AF18" i="5"/>
  <c r="AE18" i="5"/>
  <c r="AD18" i="5"/>
  <c r="AC18" i="5"/>
  <c r="AB18" i="5"/>
  <c r="AA18" i="5"/>
  <c r="Z18" i="5"/>
  <c r="AI17" i="5"/>
  <c r="AH17" i="5"/>
  <c r="AG17" i="5"/>
  <c r="AF17" i="5"/>
  <c r="AE17" i="5"/>
  <c r="AD17" i="5"/>
  <c r="AC17" i="5"/>
  <c r="AB17" i="5"/>
  <c r="AA17" i="5"/>
  <c r="Z17" i="5"/>
  <c r="AI16" i="5"/>
  <c r="AH16" i="5"/>
  <c r="AG16" i="5"/>
  <c r="AF16" i="5"/>
  <c r="AE16" i="5"/>
  <c r="AD16" i="5"/>
  <c r="AC16" i="5"/>
  <c r="AB16" i="5"/>
  <c r="AA16" i="5"/>
  <c r="Z16" i="5"/>
  <c r="AI15" i="5"/>
  <c r="AH15" i="5"/>
  <c r="AG15" i="5"/>
  <c r="AF15" i="5"/>
  <c r="AE15" i="5"/>
  <c r="AD15" i="5"/>
  <c r="AC15" i="5"/>
  <c r="AB15" i="5"/>
  <c r="AA15" i="5"/>
  <c r="Z15" i="5"/>
  <c r="AI14" i="5"/>
  <c r="AH14" i="5"/>
  <c r="AG14" i="5"/>
  <c r="AF14" i="5"/>
  <c r="AE14" i="5"/>
  <c r="AD14" i="5"/>
  <c r="AC14" i="5"/>
  <c r="AB14" i="5"/>
  <c r="AA14" i="5"/>
  <c r="Z14" i="5"/>
  <c r="AI13" i="5"/>
  <c r="AH13" i="5"/>
  <c r="AG13" i="5"/>
  <c r="AF13" i="5"/>
  <c r="AE13" i="5"/>
  <c r="AD13" i="5"/>
  <c r="AC13" i="5"/>
  <c r="AB13" i="5"/>
  <c r="AA13" i="5"/>
  <c r="Z13" i="5"/>
  <c r="AI12" i="5"/>
  <c r="AH12" i="5"/>
  <c r="AG12" i="5"/>
  <c r="AF12" i="5"/>
  <c r="AE12" i="5"/>
  <c r="AD12" i="5"/>
  <c r="AC12" i="5"/>
  <c r="AB12" i="5"/>
  <c r="AA12" i="5"/>
  <c r="Z12" i="5"/>
  <c r="AI11" i="5"/>
  <c r="AH11" i="5"/>
  <c r="AG11" i="5"/>
  <c r="AF11" i="5"/>
  <c r="AE11" i="5"/>
  <c r="AD11" i="5"/>
  <c r="AC11" i="5"/>
  <c r="AB11" i="5"/>
  <c r="AA11" i="5"/>
  <c r="Z11" i="5"/>
  <c r="AI10" i="5"/>
  <c r="AH10" i="5"/>
  <c r="AG10" i="5"/>
  <c r="AF10" i="5"/>
  <c r="AE10" i="5"/>
  <c r="AD10" i="5"/>
  <c r="AC10" i="5"/>
  <c r="AB10" i="5"/>
  <c r="AA10" i="5"/>
  <c r="Z10" i="5"/>
  <c r="AI9" i="5"/>
  <c r="AH9" i="5"/>
  <c r="AG9" i="5"/>
  <c r="AF9" i="5"/>
  <c r="AE9" i="5"/>
  <c r="AD9" i="5"/>
  <c r="AC9" i="5"/>
  <c r="AB9" i="5"/>
  <c r="AA9" i="5"/>
  <c r="Z9" i="5"/>
  <c r="AI8" i="5"/>
  <c r="AH8" i="5"/>
  <c r="AG8" i="5"/>
  <c r="AF8" i="5"/>
  <c r="AE8" i="5"/>
  <c r="AD8" i="5"/>
  <c r="AC8" i="5"/>
  <c r="AB8" i="5"/>
  <c r="AA8" i="5"/>
  <c r="Z8" i="5"/>
  <c r="AI7" i="5"/>
  <c r="AH7" i="5"/>
  <c r="AG7" i="5"/>
  <c r="AF7" i="5"/>
  <c r="AE7" i="5"/>
  <c r="AD7" i="5"/>
  <c r="AC7" i="5"/>
  <c r="AB7" i="5"/>
  <c r="AA7" i="5"/>
  <c r="Z7" i="5"/>
  <c r="AI6" i="5"/>
  <c r="AH6" i="5"/>
  <c r="AG6" i="5"/>
  <c r="AF6" i="5"/>
  <c r="AE6" i="5"/>
  <c r="AD6" i="5"/>
  <c r="AC6" i="5"/>
  <c r="AB6" i="5"/>
  <c r="AA6" i="5"/>
  <c r="Z6" i="5"/>
  <c r="AI5" i="5"/>
  <c r="AH5" i="5"/>
  <c r="AG5" i="5"/>
  <c r="AF5" i="5"/>
  <c r="AE5" i="5"/>
  <c r="AD5" i="5"/>
  <c r="AC5" i="5"/>
  <c r="AB5" i="5"/>
  <c r="AA5" i="5"/>
  <c r="Z5" i="5"/>
  <c r="AI4" i="5"/>
  <c r="AH4" i="5"/>
  <c r="AG4" i="5"/>
  <c r="AF4" i="5"/>
  <c r="AE4" i="5"/>
  <c r="AD4" i="5"/>
  <c r="AC4" i="5"/>
  <c r="AB4" i="5"/>
  <c r="AA4" i="5"/>
  <c r="Z4" i="5"/>
  <c r="H174" i="1" l="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K219" i="2" l="1"/>
  <c r="J219" i="2"/>
  <c r="I219" i="2"/>
  <c r="H219" i="2"/>
  <c r="G219" i="2"/>
  <c r="F219" i="2"/>
  <c r="E219" i="2"/>
  <c r="D219" i="2"/>
  <c r="C219" i="2"/>
  <c r="B219" i="2"/>
  <c r="K218" i="2"/>
  <c r="J218" i="2"/>
  <c r="I218" i="2"/>
  <c r="H218" i="2"/>
  <c r="G218" i="2"/>
  <c r="F218" i="2"/>
  <c r="E218" i="2"/>
  <c r="D218" i="2"/>
  <c r="C218" i="2"/>
  <c r="B218" i="2"/>
  <c r="K217" i="2"/>
  <c r="J217" i="2"/>
  <c r="I217" i="2"/>
  <c r="H217" i="2"/>
  <c r="G217" i="2"/>
  <c r="F217" i="2"/>
  <c r="E217" i="2"/>
  <c r="D217" i="2"/>
  <c r="C217" i="2"/>
  <c r="B217" i="2"/>
  <c r="K216" i="2"/>
  <c r="J216" i="2"/>
  <c r="I216" i="2"/>
  <c r="H216" i="2"/>
  <c r="G216" i="2"/>
  <c r="F216" i="2"/>
  <c r="E216" i="2"/>
  <c r="D216" i="2"/>
  <c r="C216" i="2"/>
  <c r="B216" i="2"/>
  <c r="K215" i="2"/>
  <c r="J215" i="2"/>
  <c r="I215" i="2"/>
  <c r="H215" i="2"/>
  <c r="G215" i="2"/>
  <c r="F215" i="2"/>
  <c r="E215" i="2"/>
  <c r="D215" i="2"/>
  <c r="C215" i="2"/>
  <c r="B215" i="2"/>
  <c r="K214" i="2"/>
  <c r="J214" i="2"/>
  <c r="I214" i="2"/>
  <c r="H214" i="2"/>
  <c r="G214" i="2"/>
  <c r="F214" i="2"/>
  <c r="E214" i="2"/>
  <c r="D214" i="2"/>
  <c r="C214" i="2"/>
  <c r="B214" i="2"/>
  <c r="K213" i="2"/>
  <c r="J213" i="2"/>
  <c r="I213" i="2"/>
  <c r="H213" i="2"/>
  <c r="G213" i="2"/>
  <c r="F213" i="2"/>
  <c r="E213" i="2"/>
  <c r="D213" i="2"/>
  <c r="C213" i="2"/>
  <c r="B213" i="2"/>
  <c r="K212" i="2"/>
  <c r="J212" i="2"/>
  <c r="I212" i="2"/>
  <c r="H212" i="2"/>
  <c r="G212" i="2"/>
  <c r="F212" i="2"/>
  <c r="E212" i="2"/>
  <c r="D212" i="2"/>
  <c r="C212" i="2"/>
  <c r="B212" i="2"/>
  <c r="K211" i="2"/>
  <c r="J211" i="2"/>
  <c r="I211" i="2"/>
  <c r="H211" i="2"/>
  <c r="G211" i="2"/>
  <c r="F211" i="2"/>
  <c r="E211" i="2"/>
  <c r="D211" i="2"/>
  <c r="C211" i="2"/>
  <c r="B211" i="2"/>
  <c r="K210" i="2"/>
  <c r="J210" i="2"/>
  <c r="I210" i="2"/>
  <c r="H210" i="2"/>
  <c r="G210" i="2"/>
  <c r="F210" i="2"/>
  <c r="E210" i="2"/>
  <c r="D210" i="2"/>
  <c r="C210" i="2"/>
  <c r="B210" i="2"/>
  <c r="K209" i="2"/>
  <c r="J209" i="2"/>
  <c r="I209" i="2"/>
  <c r="H209" i="2"/>
  <c r="G209" i="2"/>
  <c r="F209" i="2"/>
  <c r="E209" i="2"/>
  <c r="D209" i="2"/>
  <c r="C209" i="2"/>
  <c r="B209" i="2"/>
  <c r="K208" i="2"/>
  <c r="J208" i="2"/>
  <c r="I208" i="2"/>
  <c r="H208" i="2"/>
  <c r="G208" i="2"/>
  <c r="F208" i="2"/>
  <c r="E208" i="2"/>
  <c r="D208" i="2"/>
  <c r="C208" i="2"/>
  <c r="B208" i="2"/>
  <c r="K207" i="2"/>
  <c r="J207" i="2"/>
  <c r="I207" i="2"/>
  <c r="H207" i="2"/>
  <c r="G207" i="2"/>
  <c r="F207" i="2"/>
  <c r="E207" i="2"/>
  <c r="D207" i="2"/>
  <c r="C207" i="2"/>
  <c r="B207" i="2"/>
  <c r="K206" i="2"/>
  <c r="J206" i="2"/>
  <c r="I206" i="2"/>
  <c r="H206" i="2"/>
  <c r="G206" i="2"/>
  <c r="F206" i="2"/>
  <c r="E206" i="2"/>
  <c r="D206" i="2"/>
  <c r="C206" i="2"/>
  <c r="B206" i="2"/>
  <c r="K205" i="2"/>
  <c r="J205" i="2"/>
  <c r="I205" i="2"/>
  <c r="H205" i="2"/>
  <c r="G205" i="2"/>
  <c r="F205" i="2"/>
  <c r="E205" i="2"/>
  <c r="D205" i="2"/>
  <c r="C205" i="2"/>
  <c r="B205" i="2"/>
  <c r="K204" i="2"/>
  <c r="J204" i="2"/>
  <c r="I204" i="2"/>
  <c r="H204" i="2"/>
  <c r="G204" i="2"/>
  <c r="F204" i="2"/>
  <c r="E204" i="2"/>
  <c r="D204" i="2"/>
  <c r="C204" i="2"/>
  <c r="B204" i="2"/>
  <c r="K203" i="2"/>
  <c r="J203" i="2"/>
  <c r="I203" i="2"/>
  <c r="H203" i="2"/>
  <c r="G203" i="2"/>
  <c r="F203" i="2"/>
  <c r="E203" i="2"/>
  <c r="D203" i="2"/>
  <c r="C203" i="2"/>
  <c r="B203" i="2"/>
  <c r="K202" i="2"/>
  <c r="J202" i="2"/>
  <c r="I202" i="2"/>
  <c r="H202" i="2"/>
  <c r="G202" i="2"/>
  <c r="F202" i="2"/>
  <c r="E202" i="2"/>
  <c r="D202" i="2"/>
  <c r="C202" i="2"/>
  <c r="B202" i="2"/>
  <c r="N202" i="2"/>
  <c r="AK54" i="1" l="1"/>
  <c r="AK53" i="1"/>
  <c r="AK52" i="1"/>
  <c r="AL51" i="1"/>
  <c r="AK51" i="1"/>
  <c r="AL50" i="1"/>
  <c r="AK50" i="1"/>
  <c r="AH50" i="1"/>
  <c r="AT49" i="1"/>
  <c r="AR49" i="1"/>
  <c r="AL49" i="1"/>
  <c r="AK49" i="1"/>
  <c r="AH49" i="1"/>
  <c r="AU48" i="1"/>
  <c r="AT48" i="1"/>
  <c r="AR48" i="1"/>
  <c r="AL48" i="1"/>
  <c r="AK48" i="1"/>
  <c r="AI48" i="1"/>
  <c r="AH48" i="1"/>
  <c r="AW47" i="1"/>
  <c r="AU47" i="1"/>
  <c r="AT47" i="1"/>
  <c r="AR47" i="1"/>
  <c r="AO47" i="1"/>
  <c r="AL47" i="1"/>
  <c r="AK47" i="1"/>
  <c r="AI47" i="1"/>
  <c r="AH47" i="1"/>
  <c r="AF47" i="1"/>
  <c r="AE47" i="1"/>
  <c r="AW46" i="1"/>
  <c r="AU46" i="1"/>
  <c r="AT46" i="1"/>
  <c r="AR46" i="1"/>
  <c r="AO46" i="1"/>
  <c r="AN46" i="1"/>
  <c r="AL46" i="1"/>
  <c r="AK46" i="1"/>
  <c r="AI46" i="1"/>
  <c r="AH46" i="1"/>
  <c r="AF46" i="1"/>
  <c r="AE46" i="1"/>
  <c r="AX45" i="1"/>
  <c r="AW45" i="1"/>
  <c r="AU45" i="1"/>
  <c r="AT45" i="1"/>
  <c r="AR45" i="1"/>
  <c r="AQ45" i="1"/>
  <c r="AO45" i="1"/>
  <c r="AN45" i="1"/>
  <c r="AL45" i="1"/>
  <c r="AK45" i="1"/>
  <c r="AI45" i="1"/>
  <c r="AH45" i="1"/>
  <c r="AF45" i="1"/>
  <c r="AE45" i="1"/>
  <c r="AX44" i="1"/>
  <c r="AW44" i="1"/>
  <c r="AU44" i="1"/>
  <c r="AT44" i="1"/>
  <c r="AR44" i="1"/>
  <c r="AQ44" i="1"/>
  <c r="AO44" i="1"/>
  <c r="AN44" i="1"/>
  <c r="AL44" i="1"/>
  <c r="AK44" i="1"/>
  <c r="AI44" i="1"/>
  <c r="AH44" i="1"/>
  <c r="AF44" i="1"/>
  <c r="AE44" i="1"/>
  <c r="AX43" i="1"/>
  <c r="AW43" i="1"/>
  <c r="AU43" i="1"/>
  <c r="AT43" i="1"/>
  <c r="AR43" i="1"/>
  <c r="AQ43" i="1"/>
  <c r="AO43" i="1"/>
  <c r="AN43" i="1"/>
  <c r="AL43" i="1"/>
  <c r="AK43" i="1"/>
  <c r="AI43" i="1"/>
  <c r="AH43" i="1"/>
  <c r="AF43" i="1"/>
  <c r="AE43" i="1"/>
  <c r="AX42" i="1"/>
  <c r="AW42" i="1"/>
  <c r="AU42" i="1"/>
  <c r="AT42" i="1"/>
  <c r="AR42" i="1"/>
  <c r="AQ42" i="1"/>
  <c r="AO42" i="1"/>
  <c r="AN42" i="1"/>
  <c r="AL42" i="1"/>
  <c r="AK42" i="1"/>
  <c r="AI42" i="1"/>
  <c r="AH42" i="1"/>
  <c r="AF42" i="1"/>
  <c r="AE42" i="1"/>
  <c r="AX41" i="1"/>
  <c r="AW41" i="1"/>
  <c r="AU41" i="1"/>
  <c r="AT41" i="1"/>
  <c r="AR41" i="1"/>
  <c r="AQ41" i="1"/>
  <c r="AO41" i="1"/>
  <c r="AN41" i="1"/>
  <c r="AL41" i="1"/>
  <c r="AK41" i="1"/>
  <c r="AI41" i="1"/>
  <c r="AH41" i="1"/>
  <c r="AF41" i="1"/>
  <c r="AE41" i="1"/>
  <c r="AX40" i="1"/>
  <c r="AW40" i="1"/>
  <c r="AU40" i="1"/>
  <c r="AT40" i="1"/>
  <c r="AR40" i="1"/>
  <c r="AQ40" i="1"/>
  <c r="AO40" i="1"/>
  <c r="AN40" i="1"/>
  <c r="AL40" i="1"/>
  <c r="AK40" i="1"/>
  <c r="AI40" i="1"/>
  <c r="AH40" i="1"/>
  <c r="AF40" i="1"/>
  <c r="AE40" i="1"/>
  <c r="AX39" i="1"/>
  <c r="AW39" i="1"/>
  <c r="AU39" i="1"/>
  <c r="AT39" i="1"/>
  <c r="AR39" i="1"/>
  <c r="AQ39" i="1"/>
  <c r="AO39" i="1"/>
  <c r="AN39" i="1"/>
  <c r="AL39" i="1"/>
  <c r="AK39" i="1"/>
  <c r="AI39" i="1"/>
  <c r="AH39" i="1"/>
  <c r="AF39" i="1"/>
  <c r="AE39" i="1"/>
  <c r="AX38" i="1"/>
  <c r="AW38" i="1"/>
  <c r="AU38" i="1"/>
  <c r="AT38" i="1"/>
  <c r="AR38" i="1"/>
  <c r="AQ38" i="1"/>
  <c r="AO38" i="1"/>
  <c r="AN38" i="1"/>
  <c r="AL38" i="1"/>
  <c r="AK38" i="1"/>
  <c r="AI38" i="1"/>
  <c r="AH38" i="1"/>
  <c r="AF38" i="1"/>
  <c r="AE38" i="1"/>
  <c r="AX37" i="1"/>
  <c r="AW37" i="1"/>
  <c r="AU37" i="1"/>
  <c r="AT37" i="1"/>
  <c r="AR37" i="1"/>
  <c r="AQ37" i="1"/>
  <c r="AO37" i="1"/>
  <c r="AN37" i="1"/>
  <c r="AL37" i="1"/>
  <c r="AK37" i="1"/>
  <c r="AI37" i="1"/>
  <c r="AH37" i="1"/>
  <c r="AF37" i="1"/>
  <c r="AE37" i="1"/>
  <c r="B3" i="3" l="1"/>
  <c r="K4" i="3"/>
  <c r="K5" i="3"/>
  <c r="K6" i="3"/>
  <c r="K7" i="3"/>
  <c r="K8" i="3"/>
  <c r="K9" i="3"/>
  <c r="K10" i="3"/>
  <c r="K11" i="3"/>
  <c r="K12" i="3"/>
  <c r="K13" i="3"/>
  <c r="K14" i="3"/>
  <c r="K15" i="3"/>
  <c r="K16" i="3"/>
  <c r="K17" i="3"/>
  <c r="K18" i="3"/>
  <c r="K19" i="3"/>
  <c r="K20" i="3"/>
  <c r="J4" i="3"/>
  <c r="J5" i="3"/>
  <c r="J6" i="3"/>
  <c r="J7" i="3"/>
  <c r="J8" i="3"/>
  <c r="J9" i="3"/>
  <c r="J10" i="3"/>
  <c r="J11" i="3"/>
  <c r="J12" i="3"/>
  <c r="J13" i="3"/>
  <c r="J14" i="3"/>
  <c r="J15" i="3"/>
  <c r="J16" i="3"/>
  <c r="J17" i="3"/>
  <c r="J18" i="3"/>
  <c r="J19" i="3"/>
  <c r="J20" i="3"/>
  <c r="I4" i="3"/>
  <c r="I5" i="3"/>
  <c r="I6" i="3"/>
  <c r="I7" i="3"/>
  <c r="I8" i="3"/>
  <c r="I9" i="3"/>
  <c r="I10" i="3"/>
  <c r="I11" i="3"/>
  <c r="I12" i="3"/>
  <c r="I13" i="3"/>
  <c r="I14" i="3"/>
  <c r="I15" i="3"/>
  <c r="I16" i="3"/>
  <c r="I17" i="3"/>
  <c r="I18" i="3"/>
  <c r="I19" i="3"/>
  <c r="I20" i="3"/>
  <c r="H4" i="3"/>
  <c r="H5" i="3"/>
  <c r="H6" i="3"/>
  <c r="H7" i="3"/>
  <c r="H8" i="3"/>
  <c r="H9" i="3"/>
  <c r="H10" i="3"/>
  <c r="H11" i="3"/>
  <c r="H12" i="3"/>
  <c r="H13" i="3"/>
  <c r="H14" i="3"/>
  <c r="H15" i="3"/>
  <c r="H16" i="3"/>
  <c r="H17" i="3"/>
  <c r="H18" i="3"/>
  <c r="H19" i="3"/>
  <c r="H20" i="3"/>
  <c r="G4" i="3"/>
  <c r="G5" i="3"/>
  <c r="G6" i="3"/>
  <c r="G7" i="3"/>
  <c r="G8" i="3"/>
  <c r="G9" i="3"/>
  <c r="G10" i="3"/>
  <c r="G11" i="3"/>
  <c r="G12" i="3"/>
  <c r="G13" i="3"/>
  <c r="G14" i="3"/>
  <c r="G15" i="3"/>
  <c r="G16" i="3"/>
  <c r="G17" i="3"/>
  <c r="G18" i="3"/>
  <c r="G19" i="3"/>
  <c r="G20" i="3"/>
  <c r="F4" i="3"/>
  <c r="F5" i="3"/>
  <c r="F6" i="3"/>
  <c r="F7" i="3"/>
  <c r="F8" i="3"/>
  <c r="F9" i="3"/>
  <c r="F10" i="3"/>
  <c r="F11" i="3"/>
  <c r="F12" i="3"/>
  <c r="F13" i="3"/>
  <c r="F14" i="3"/>
  <c r="F15" i="3"/>
  <c r="F16" i="3"/>
  <c r="F17" i="3"/>
  <c r="F18" i="3"/>
  <c r="F19" i="3"/>
  <c r="F20" i="3"/>
  <c r="E4" i="3"/>
  <c r="E5" i="3"/>
  <c r="E6" i="3"/>
  <c r="E7" i="3"/>
  <c r="E8" i="3"/>
  <c r="E9" i="3"/>
  <c r="E10" i="3"/>
  <c r="E11" i="3"/>
  <c r="E12" i="3"/>
  <c r="E13" i="3"/>
  <c r="E14" i="3"/>
  <c r="E15" i="3"/>
  <c r="E16" i="3"/>
  <c r="E17" i="3"/>
  <c r="E18" i="3"/>
  <c r="E19" i="3"/>
  <c r="E20" i="3"/>
  <c r="D4" i="3"/>
  <c r="D5" i="3"/>
  <c r="D6" i="3"/>
  <c r="D7" i="3"/>
  <c r="D8" i="3"/>
  <c r="D9" i="3"/>
  <c r="D10" i="3"/>
  <c r="D11" i="3"/>
  <c r="D12" i="3"/>
  <c r="D13" i="3"/>
  <c r="D14" i="3"/>
  <c r="D15" i="3"/>
  <c r="D16" i="3"/>
  <c r="D17" i="3"/>
  <c r="D18" i="3"/>
  <c r="D19" i="3"/>
  <c r="D20" i="3"/>
  <c r="C4" i="3"/>
  <c r="C5" i="3"/>
  <c r="C6" i="3"/>
  <c r="C7" i="3"/>
  <c r="C8" i="3"/>
  <c r="C9" i="3"/>
  <c r="C10" i="3"/>
  <c r="C11" i="3"/>
  <c r="C12" i="3"/>
  <c r="C13" i="3"/>
  <c r="C14" i="3"/>
  <c r="C15" i="3"/>
  <c r="C16" i="3"/>
  <c r="C17" i="3"/>
  <c r="C18" i="3"/>
  <c r="C19" i="3"/>
  <c r="C20" i="3"/>
  <c r="B4" i="3"/>
  <c r="B5" i="3"/>
  <c r="B6" i="3"/>
  <c r="B7" i="3"/>
  <c r="B8" i="3"/>
  <c r="B9" i="3"/>
  <c r="B10" i="3"/>
  <c r="B11" i="3"/>
  <c r="B12" i="3"/>
  <c r="B13" i="3"/>
  <c r="B14" i="3"/>
  <c r="B15" i="3"/>
  <c r="B16" i="3"/>
  <c r="B17" i="3"/>
  <c r="B18" i="3"/>
  <c r="B19" i="3"/>
  <c r="B20" i="3"/>
  <c r="C3" i="3"/>
  <c r="D3" i="3"/>
  <c r="E3" i="3"/>
  <c r="F3" i="3"/>
  <c r="G3" i="3"/>
  <c r="H3" i="3"/>
  <c r="I3" i="3"/>
  <c r="J3" i="3"/>
  <c r="K3" i="3"/>
  <c r="L179" i="2" l="1"/>
  <c r="K179" i="2"/>
  <c r="J17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ytusc</author>
    <author>Mustafa</author>
    <author>ASUS</author>
  </authors>
  <commentList>
    <comment ref="V1" authorId="0" shapeId="0" xr:uid="{00000000-0006-0000-0000-000001000000}">
      <text>
        <r>
          <rPr>
            <b/>
            <sz val="9"/>
            <color indexed="81"/>
            <rFont val="Tahoma"/>
            <family val="2"/>
            <charset val="162"/>
          </rPr>
          <t>ytusc:</t>
        </r>
        <r>
          <rPr>
            <sz val="9"/>
            <color indexed="81"/>
            <rFont val="Tahoma"/>
            <family val="2"/>
            <charset val="162"/>
          </rPr>
          <t xml:space="preserve">
Aynı departmanın dersleri aynı anda olamaz. Ancak burada verilen listedekiler (ikame dersler gibi) aynı anda olacaktır. 
</t>
        </r>
      </text>
    </comment>
    <comment ref="D2" authorId="0" shapeId="0" xr:uid="{00000000-0006-0000-0000-000002000000}">
      <text>
        <r>
          <rPr>
            <b/>
            <sz val="11"/>
            <color indexed="81"/>
            <rFont val="Tahoma"/>
            <family val="2"/>
            <charset val="162"/>
          </rPr>
          <t>ytusc:</t>
        </r>
        <r>
          <rPr>
            <sz val="11"/>
            <color indexed="81"/>
            <rFont val="Tahoma"/>
            <family val="2"/>
            <charset val="162"/>
          </rPr>
          <t xml:space="preserve">
eğer dersler 66dan büyükse 1 yazılmalı
66n ya da daha küçükse 0 yazılmalıu</t>
        </r>
      </text>
    </comment>
    <comment ref="E2" authorId="1" shapeId="0" xr:uid="{00000000-0006-0000-0000-000003000000}">
      <text>
        <r>
          <rPr>
            <b/>
            <sz val="9"/>
            <color indexed="81"/>
            <rFont val="Tahoma"/>
            <family val="2"/>
            <charset val="162"/>
          </rPr>
          <t>Mustafa:</t>
        </r>
        <r>
          <rPr>
            <sz val="9"/>
            <color indexed="81"/>
            <rFont val="Tahoma"/>
            <family val="2"/>
            <charset val="162"/>
          </rPr>
          <t xml:space="preserve">
Birinci öğretim ise 1
 değilse 2 yazalım. </t>
        </r>
      </text>
    </comment>
    <comment ref="F2" authorId="1" shapeId="0" xr:uid="{00000000-0006-0000-0000-000004000000}">
      <text>
        <r>
          <rPr>
            <b/>
            <sz val="9"/>
            <color indexed="81"/>
            <rFont val="Tahoma"/>
            <family val="2"/>
            <charset val="162"/>
          </rPr>
          <t>Mustafa:</t>
        </r>
        <r>
          <rPr>
            <sz val="9"/>
            <color indexed="81"/>
            <rFont val="Tahoma"/>
            <family val="2"/>
            <charset val="162"/>
          </rPr>
          <t xml:space="preserve">
Eğer sınav yarım saat ise 1, daha uzun ise 2 girelim. </t>
        </r>
      </text>
    </comment>
    <comment ref="G2" authorId="1" shapeId="0" xr:uid="{00000000-0006-0000-0000-000005000000}">
      <text>
        <r>
          <rPr>
            <b/>
            <sz val="9"/>
            <color indexed="81"/>
            <rFont val="Tahoma"/>
            <family val="2"/>
            <charset val="162"/>
          </rPr>
          <t>Mustafa:</t>
        </r>
        <r>
          <rPr>
            <sz val="9"/>
            <color indexed="81"/>
            <rFont val="Tahoma"/>
            <family val="2"/>
            <charset val="162"/>
          </rPr>
          <t xml:space="preserve">
Eğer LAB dersi ise 1, degilse 0 yazalım. </t>
        </r>
      </text>
    </comment>
    <comment ref="H2" authorId="1" shapeId="0" xr:uid="{00000000-0006-0000-0000-000006000000}">
      <text>
        <r>
          <rPr>
            <b/>
            <sz val="9"/>
            <color indexed="81"/>
            <rFont val="Tahoma"/>
            <family val="2"/>
            <charset val="162"/>
          </rPr>
          <t>Mustafa:</t>
        </r>
        <r>
          <rPr>
            <sz val="9"/>
            <color indexed="81"/>
            <rFont val="Tahoma"/>
            <family val="2"/>
            <charset val="162"/>
          </rPr>
          <t xml:space="preserve">
Eğeriki derslik ise 1, değilse 0 yazalım. </t>
        </r>
      </text>
    </comment>
    <comment ref="Y2" authorId="2" shapeId="0" xr:uid="{00000000-0006-0000-0000-000007000000}">
      <text>
        <r>
          <rPr>
            <b/>
            <sz val="9"/>
            <color indexed="81"/>
            <rFont val="Tahoma"/>
            <family val="2"/>
            <charset val="162"/>
          </rPr>
          <t>ASUS:</t>
        </r>
        <r>
          <rPr>
            <sz val="9"/>
            <color indexed="81"/>
            <rFont val="Tahoma"/>
            <family val="2"/>
            <charset val="162"/>
          </rPr>
          <t xml:space="preserve">
Eğer olmazsa olmaz olarak tanımlanıyorsa ders (hard) 1 girilmelidir.
Eğer olsa da olur olmasa da olur şeklinde giriyorsak (soft) olarak 0 olması yeterlidir.</t>
        </r>
      </text>
    </comment>
    <comment ref="AB2" authorId="0" shapeId="0" xr:uid="{00000000-0006-0000-0000-000008000000}">
      <text>
        <r>
          <rPr>
            <b/>
            <sz val="9"/>
            <color indexed="81"/>
            <rFont val="Tahoma"/>
            <family val="2"/>
            <charset val="162"/>
          </rPr>
          <t>ytusc:</t>
        </r>
        <r>
          <rPr>
            <sz val="9"/>
            <color indexed="81"/>
            <rFont val="Tahoma"/>
            <family val="2"/>
            <charset val="162"/>
          </rPr>
          <t xml:space="preserve">
Aynı departmanın dersleri aynı anda olamaz. Ancak burada verilen listedekiler (ikame dersler gibi) aynı anda olacaktır. 
</t>
        </r>
      </text>
    </comment>
  </commentList>
</comments>
</file>

<file path=xl/sharedStrings.xml><?xml version="1.0" encoding="utf-8"?>
<sst xmlns="http://schemas.openxmlformats.org/spreadsheetml/2006/main" count="1199" uniqueCount="779">
  <si>
    <t>CLASSROOMS</t>
  </si>
  <si>
    <t>DAYS</t>
  </si>
  <si>
    <t>TIME INTERVAL</t>
  </si>
  <si>
    <t>İŞLETME</t>
  </si>
  <si>
    <t>EMLAK</t>
  </si>
  <si>
    <t>cost1</t>
  </si>
  <si>
    <t>cost2</t>
  </si>
  <si>
    <t>BANKA</t>
  </si>
  <si>
    <t>cost3</t>
  </si>
  <si>
    <t>PAZARLAMA</t>
  </si>
  <si>
    <t>cost4</t>
  </si>
  <si>
    <t>DIŞ TİCARET</t>
  </si>
  <si>
    <t>cost5</t>
  </si>
  <si>
    <t>MUHASEBE</t>
  </si>
  <si>
    <t>cost6</t>
  </si>
  <si>
    <t>TURİZM</t>
  </si>
  <si>
    <t>cost7</t>
  </si>
  <si>
    <t>Z03</t>
  </si>
  <si>
    <t>Z04</t>
  </si>
  <si>
    <t>Z05</t>
  </si>
  <si>
    <t>Z06</t>
  </si>
  <si>
    <t>Z07</t>
  </si>
  <si>
    <t>LAB1</t>
  </si>
  <si>
    <t>LAB</t>
  </si>
  <si>
    <t>LAB2</t>
  </si>
  <si>
    <t>LAB3</t>
  </si>
  <si>
    <t>LAB4</t>
  </si>
  <si>
    <t>cost8</t>
  </si>
  <si>
    <t>cost9</t>
  </si>
  <si>
    <t>cost10</t>
  </si>
  <si>
    <t>cost11</t>
  </si>
  <si>
    <t>cost12</t>
  </si>
  <si>
    <t>cost13</t>
  </si>
  <si>
    <t>cost14</t>
  </si>
  <si>
    <t>PAZARTESİ</t>
  </si>
  <si>
    <t>SALI</t>
  </si>
  <si>
    <t>ÇARŞAMBA</t>
  </si>
  <si>
    <t>PERŞEMBE</t>
  </si>
  <si>
    <t>CUMA</t>
  </si>
  <si>
    <t>09:00-09:30</t>
  </si>
  <si>
    <t>09:30-10:00</t>
  </si>
  <si>
    <t>10:00-10:30</t>
  </si>
  <si>
    <t>10:30-11:00</t>
  </si>
  <si>
    <t>11:00-11:30</t>
  </si>
  <si>
    <t>11:30-12:00</t>
  </si>
  <si>
    <t>12:30-13:00</t>
  </si>
  <si>
    <t>12:00-12:30</t>
  </si>
  <si>
    <t>13:00-13:30</t>
  </si>
  <si>
    <t>13:30-14:00</t>
  </si>
  <si>
    <t>14:00-14:30</t>
  </si>
  <si>
    <t>14:30-15:00</t>
  </si>
  <si>
    <t>15:00-15:30</t>
  </si>
  <si>
    <t>15:30-16:00</t>
  </si>
  <si>
    <t>16:00-16:30</t>
  </si>
  <si>
    <t>16:30-17:00</t>
  </si>
  <si>
    <t>17:00-17:30</t>
  </si>
  <si>
    <t>17:30-18:00</t>
  </si>
  <si>
    <t xml:space="preserve">Lab mı? </t>
  </si>
  <si>
    <t>İki Derslik mi?</t>
  </si>
  <si>
    <t>Kaç Slot?</t>
  </si>
  <si>
    <t>Kacinci Ogretim?</t>
  </si>
  <si>
    <t>Ders Listesi</t>
  </si>
  <si>
    <t>Ders Kodu</t>
  </si>
  <si>
    <t>Mevcudu</t>
  </si>
  <si>
    <t>İstisnalar</t>
  </si>
  <si>
    <t>Aynı anda olacak sınavlar</t>
  </si>
  <si>
    <t>Kapasite</t>
  </si>
  <si>
    <t>Derslikler</t>
  </si>
  <si>
    <t>Kodu</t>
  </si>
  <si>
    <t>Gün</t>
  </si>
  <si>
    <t>Slot</t>
  </si>
  <si>
    <t>1. Sınıf</t>
  </si>
  <si>
    <t>2.Sınıf</t>
  </si>
  <si>
    <t>İkinci Öğretim Slotları</t>
  </si>
  <si>
    <t>Yabancı Dil I (EMLAK)</t>
  </si>
  <si>
    <t>Mikro İktisat (EMLAK)</t>
  </si>
  <si>
    <t>İşletme (EMLAK)</t>
  </si>
  <si>
    <t>Temel Hukuk (EMLAK)</t>
  </si>
  <si>
    <t>Gayrimenkulde Temel Kavramlar (EMLAK)</t>
  </si>
  <si>
    <t>Matematik  (EMLAK)</t>
  </si>
  <si>
    <t>Bilgisayar I (EMLAK)</t>
  </si>
  <si>
    <t>Seminer (EMLAK)</t>
  </si>
  <si>
    <t>Pazarlama İlkeleri (EMLAK)</t>
  </si>
  <si>
    <t>Atatürk İlkeleri ve Inkılap Tarihi I (EMLAK)</t>
  </si>
  <si>
    <t>Türk Dili I (EMLAK)</t>
  </si>
  <si>
    <t>Emlak Pazarlama Yönetimi (EMLAK)</t>
  </si>
  <si>
    <t>Tapu Mevzuatı (EMLAK)</t>
  </si>
  <si>
    <t>İmar ve Belediye Mevzuatı (EMLAK)</t>
  </si>
  <si>
    <t>Genel Muhasebe (EMLAK)</t>
  </si>
  <si>
    <t>Bilgisayar II (EMLAK)</t>
  </si>
  <si>
    <t>İnsan Kaynakları Yönetimi (EMLAK)</t>
  </si>
  <si>
    <t>Sigortaya Giriş (EMLAK)</t>
  </si>
  <si>
    <t>Tüketici Davranışları (EMLAK)</t>
  </si>
  <si>
    <t xml:space="preserve">Girişimcilik ve Franchising </t>
  </si>
  <si>
    <t>Sermaye Piyasalarında Gayrimenkul Yatırımları  (EMLAK)</t>
  </si>
  <si>
    <t>Para ve Bankacılık  (EMLAK)</t>
  </si>
  <si>
    <t xml:space="preserve"> İŞLETME  ( İŞL )</t>
  </si>
  <si>
    <t>PAZARLAMA İLKELERİ ( İŞL )</t>
  </si>
  <si>
    <t>İKTİSAT ( İŞL )</t>
  </si>
  <si>
    <t>MUHASEBE I  ( İŞL )</t>
  </si>
  <si>
    <t>TEMEL HUKUK  ( İŞL )</t>
  </si>
  <si>
    <t>TİCARİ MATEMATİK  ( İŞL )</t>
  </si>
  <si>
    <t>BİLGİSAYAR I -  B ( İŞL )</t>
  </si>
  <si>
    <t>BİLGİSAYAR I -  A ( İŞL )</t>
  </si>
  <si>
    <t>ATATÜRK İLKELERİ VE İNKILAP TARİHİ I  ( İŞL )</t>
  </si>
  <si>
    <t>TÜRK DİLİ I ( İŞL ) ( Yabancı öğ.dahil)</t>
  </si>
  <si>
    <t>YABANCI DİL I ( İŞL )</t>
  </si>
  <si>
    <t>DAVRANIŞ BİLİMLERİ ( İŞL )</t>
  </si>
  <si>
    <t>ÇEVRE KORUMA ( İŞL )</t>
  </si>
  <si>
    <t xml:space="preserve">TOPLUMBİLİM ( İŞL )1SINIF </t>
  </si>
  <si>
    <t xml:space="preserve">MALİ TABLOLAR ANALİZİ( İŞL ) 2 SINIF </t>
  </si>
  <si>
    <t>İNSAN KAYNAKLARI YÖNETİMİ ( İŞL )</t>
  </si>
  <si>
    <t>İŞ ve SOSYAL GÜVENLİK HUKUKU ( İŞL )</t>
  </si>
  <si>
    <t>GİRİŞİMCİLİK VE KÜÇÜK İŞLETME YÖNETİMİ( İŞL )</t>
  </si>
  <si>
    <t>VERGİ HUKUKU ( İŞL )</t>
  </si>
  <si>
    <t>İŞLETME FİNANSMANI ( İŞL )</t>
  </si>
  <si>
    <t>TÜKETİCİ DAVRANIŞLARI ( İŞL )</t>
  </si>
  <si>
    <t>İŞ ETİĞİ ( İŞL )</t>
  </si>
  <si>
    <t>ŞİRKETLER MUHASEBESİ( İŞL )</t>
  </si>
  <si>
    <t>KAMU MALİYESİ  ( İŞL )</t>
  </si>
  <si>
    <t>MÜŞTERİ İLİŞKİLERİ YÖNETİMİ  ( İŞL )</t>
  </si>
  <si>
    <t>KURUMLAR SOSYOLOJİSİ  ( İŞL )</t>
  </si>
  <si>
    <t>Atatürk İlkeleri ve İnkılap Tarihi I  ( Banka)</t>
  </si>
  <si>
    <t>Türk Dili I   ( Banka)</t>
  </si>
  <si>
    <t>Yabancı Dil I ( Banka)</t>
  </si>
  <si>
    <t>Mikro İktisat  - çift ( Banka) M.Hakan Sağlam</t>
  </si>
  <si>
    <t>Mikro İktisat  - tek ( Banka) Selma Öner</t>
  </si>
  <si>
    <t>İşletme  - tek  B( Banka)  M.Hakan Sağlam</t>
  </si>
  <si>
    <t xml:space="preserve"> İşletme - çift A  ( Banka)  M.Hakan Sağlam</t>
  </si>
  <si>
    <t>Muhasebe I  ( Banka)  Adem Elikara</t>
  </si>
  <si>
    <t>Matematik  ( Banka)   Müfit Giresunlu</t>
  </si>
  <si>
    <t>Temel Hukuk  - tek  B ( Banka) Erkan Arslan</t>
  </si>
  <si>
    <t>Temel Hukuk  -çift    A ( Banka) Erkan Arslan</t>
  </si>
  <si>
    <t>Bilgisayar I A GRUBU Tolga Akagün</t>
  </si>
  <si>
    <t>Bilgisayar I B GRUBU  Minire Kırbaşlı</t>
  </si>
  <si>
    <t>Bilgisayar I  -TEK ( Banka)   Tolga Akagün</t>
  </si>
  <si>
    <t>Bilgisayar I  -ÇİFT   ( Banka)   Minire Kırbaşlı</t>
  </si>
  <si>
    <t>Bankacılığa Giriş  ( Banka)</t>
  </si>
  <si>
    <t>Sigortacılığa Giriş  -tek( Banka)  Metin Dermiray 1SINF</t>
  </si>
  <si>
    <t>Sigortacılığa Giriş  -çift2.öğr.dah  ( Banka)   Erkan Arslan</t>
  </si>
  <si>
    <t>İNSAN İLİŞKİLERİ VE İLETİŞİM YÖNTEMLERİ ( Banka)</t>
  </si>
  <si>
    <t>MESLEKİ YABANCI DİL I  A  ( Banka)</t>
  </si>
  <si>
    <t>MESLEKİ YABANCI DİL I  B  ( Banka)</t>
  </si>
  <si>
    <t>İSTATİSTİK ( Banka)</t>
  </si>
  <si>
    <t>İŞARET DİLİ ( Banka)</t>
  </si>
  <si>
    <t>HİZMET PAZARLAMASI  ( Banka)</t>
  </si>
  <si>
    <t>TİCARET HUKUKU   ( Banka)</t>
  </si>
  <si>
    <t>KREDİ TALEPLERİNİN DEĞERLENDİRMESİ  ( Banka)</t>
  </si>
  <si>
    <t>BANKA MUHASEBESİ  ( Banka)</t>
  </si>
  <si>
    <t>DIŞ TİCARET İŞLEMLERİ  ( Banka)</t>
  </si>
  <si>
    <t>YANGIN VE MÜHENDİSLİK SİGORTALARI  ( Banka)</t>
  </si>
  <si>
    <t>SİGORTA PAZARLAMASI  ( Banka)</t>
  </si>
  <si>
    <t>NAKLİYAT SİGORTALARI 2.öğr.dahil ( Banka)</t>
  </si>
  <si>
    <t>HAYAT SİGORTALARI ( Banka)</t>
  </si>
  <si>
    <t>KAZA VE SORUMLULUK SİGORTALARI ( Banka)</t>
  </si>
  <si>
    <t>Genel İşletme ( PAZR )</t>
  </si>
  <si>
    <t>Atatürk İlkeleri ve İnkilap Tarihi I ( yabn öğr.dahil)</t>
  </si>
  <si>
    <t>Türk Dili I  ( yabn öğr.dahil )( PAZR )</t>
  </si>
  <si>
    <t>İletişim  ( PAZR )</t>
  </si>
  <si>
    <t>Ekonomi  ( PAZR )</t>
  </si>
  <si>
    <t>Çevre Koruma   ( PAZR ) temel ilk yardım muad.</t>
  </si>
  <si>
    <t>Temel İlk Yardım   ( PAZR )  Ç.koruma muadi.</t>
  </si>
  <si>
    <t>Yabancı Dil I  ( PAZR )</t>
  </si>
  <si>
    <t>Pazarlama İlkeleri   ( PAZR )</t>
  </si>
  <si>
    <t>Matematik  ( PAZR ) 1.SINIF</t>
  </si>
  <si>
    <t>PAZARLAMA ARAŞTIRMASI  ( PAZR )</t>
  </si>
  <si>
    <t>GİRİŞİMCİLİK ( PAZR )</t>
  </si>
  <si>
    <t>MÜŞTERİ İLİŞKİLERİ YÖNETİMİ  ( PAZR )</t>
  </si>
  <si>
    <t>YAPI MALZEM BİLGİSAYAR UYGULI I ( PAZR )</t>
  </si>
  <si>
    <t>YAPI MALZELEMELERİ PAZARLAMASI ( PAZR )</t>
  </si>
  <si>
    <t>SİGORTA PAZARLAMASI ( PAZR )</t>
  </si>
  <si>
    <t>SATIŞ SAHA PLANLAMASI  ( PAZR )</t>
  </si>
  <si>
    <t>BİLGİSAYARDA OFİS PROGRAMLARI ( PAZR )</t>
  </si>
  <si>
    <t>MESLEKİ YABANCI DİL ( PAZR )</t>
  </si>
  <si>
    <t>SATIŞ GÜCÜ EĞİTİMİ  ( PAZR )</t>
  </si>
  <si>
    <t>TÜKETİCİ DAVRANIŞLARI  ( PAZR )</t>
  </si>
  <si>
    <t>Atatürk İnkılap Tarihi I  yab.öğr dahil  ( DIŞ )</t>
  </si>
  <si>
    <t>Türk Dili I   ( yabn öğr.dahil)  ( DIŞ )</t>
  </si>
  <si>
    <t>Yabancı Dil I   ( DIŞ )</t>
  </si>
  <si>
    <t>Mikro Ekonomi  ( DIŞ )</t>
  </si>
  <si>
    <t>Temel Hukuk   ( DIŞ )</t>
  </si>
  <si>
    <t>Genel Muhasebe ( ikinci öğr.dahil)  ( DIŞ )</t>
  </si>
  <si>
    <t>İşletme ( İkinci öğr.dahil)  ( DIŞ )</t>
  </si>
  <si>
    <t>Bilgi ve İletişim Teknolojisi*  ( DIŞ )</t>
  </si>
  <si>
    <t xml:space="preserve">Bilgisayarda Sunum Teknikleri*  ( DIŞ ) 1.SINIF </t>
  </si>
  <si>
    <t>Mesleki Yabancı Dil ( 2.öğr.dahil)  ( DIŞ )</t>
  </si>
  <si>
    <t>Uluslararası Pazarlama 2.öğr.dahil   ( DIŞ )</t>
  </si>
  <si>
    <t>Uluslararası İktisat I  ( 2.öğr.dahil) ( DIŞ )</t>
  </si>
  <si>
    <t>Araştırma Yöntem ve Teknikleri 2.öğrdah ( DIŞ )</t>
  </si>
  <si>
    <t>Lojistik ( 2.öğr.dahil)   ( DIŞ )</t>
  </si>
  <si>
    <t>Dış Ticaret İşlemleri II ( 2.öğr.dah)  ( DIŞ )</t>
  </si>
  <si>
    <t>İş ve Sosyal Güvenlik Hukuku   ( DIŞ )</t>
  </si>
  <si>
    <t>İletişim  ( DIŞ )</t>
  </si>
  <si>
    <t>Ticaret Hukuku ( 2.öğr.dahl)  ( DIŞ )</t>
  </si>
  <si>
    <t>Elektronik Ticaret    ( DIŞ )</t>
  </si>
  <si>
    <t>Temel İlk Yardım  ( DIŞ )</t>
  </si>
  <si>
    <t>Çevre Koruma  ( DIŞ ) 2.SINIF</t>
  </si>
  <si>
    <t>Atatürk İlkeleri ve İnkılap Tarihi I  ( MUH)</t>
  </si>
  <si>
    <t>Türk Dili I / yabn öğr.dahl) ( MUH)</t>
  </si>
  <si>
    <t>Yabancı Dil I ( MUH)</t>
  </si>
  <si>
    <t xml:space="preserve"> Genel Muhasebe I/2.öğrdah ( MUH) Tuğçe Kocamış</t>
  </si>
  <si>
    <t>Mikro Ekonomi /2.öğr.dhl (( MUH) Selma Öner</t>
  </si>
  <si>
    <t>Temel Hukuk ( MUH)</t>
  </si>
  <si>
    <t>Ticari Matematik /2.öğ.dah ( MUH)</t>
  </si>
  <si>
    <t>Ofis Programları I A  ( MUH) Minire Kırbaşlı</t>
  </si>
  <si>
    <t>Ofis Programları I B  ( MUH) Ali  Kuzu</t>
  </si>
  <si>
    <t>İletişim  ( MUH)</t>
  </si>
  <si>
    <t>Davranış Bilimleri*   ( MUH)</t>
  </si>
  <si>
    <t>Meslek Etiği  ( MUH)</t>
  </si>
  <si>
    <t xml:space="preserve">İşletme Finansmanı* ( MUH) 1 SINIF </t>
  </si>
  <si>
    <t>Şirketler Muhasebesi   ( MUH)</t>
  </si>
  <si>
    <t>Maliyet Muhasebesi /2.ÖĞR DAH ( MUH)</t>
  </si>
  <si>
    <t>Vergi Hukuku  ( MUH)</t>
  </si>
  <si>
    <t>Paket Programlar I A ( muhasebe ) Ethem Kahveci</t>
  </si>
  <si>
    <t>Paket Programlar I B ( muhasebe ) Emine Ertürk</t>
  </si>
  <si>
    <t xml:space="preserve">Bilgi iletişim Teknolojileri/2.öğr.dah Hatice Özkurt </t>
  </si>
  <si>
    <t>İş ve Sosyal Güvenlik Hukuku  ( MUH)</t>
  </si>
  <si>
    <t>Dış Ticaret İşlemleri Muhasebesi  ( MUH)</t>
  </si>
  <si>
    <t>Araştırma Yöntem ve Teknikleri/2.öğr.dh( MUH)</t>
  </si>
  <si>
    <t>İnsan Kaynakları Yönetimi*  ( MUH)</t>
  </si>
  <si>
    <t>Kamu Maliyesi /2.öğr.dahl ( MUH)</t>
  </si>
  <si>
    <t>Finansal Yönetim ( MUH)</t>
  </si>
  <si>
    <t>Genel Turizm    ( Turizm)</t>
  </si>
  <si>
    <t>Kat Hizmetleri   ( Turizm)</t>
  </si>
  <si>
    <t>Önbüro Hizmetleri   ( Turizm)</t>
  </si>
  <si>
    <t>Yiyecek İçecek Servisi    ( Turizm)</t>
  </si>
  <si>
    <t>Atatürk İlkİnkılap Tarihi I  / yab öğr.dahl ( Turizm)</t>
  </si>
  <si>
    <t>Türk Dili I / yabn öğr.dahl)</t>
  </si>
  <si>
    <t>Yabancı Dil I    ( Turizm)</t>
  </si>
  <si>
    <t>Çevre Koruma      ( Turizm) tevfik</t>
  </si>
  <si>
    <t>Genel Alan Kontrolü   ( Turizm) tevfik</t>
  </si>
  <si>
    <t>Önbüroda Oda İşlemleri    ( Turizm) tevfik</t>
  </si>
  <si>
    <t>Konuk Giriş-Çıkış İşlemleri    ( Turizm) tevfik 1.SINIF</t>
  </si>
  <si>
    <t>Mesleki Yabancı Dil-I    ( Turizm)-2.SINIF</t>
  </si>
  <si>
    <t>Menü Planlama    ( Turizm)</t>
  </si>
  <si>
    <t>Turizm Mevzuatı  ( Turizm)</t>
  </si>
  <si>
    <t>Tur Operatörlüğü ve Seyahat Acentacılığı   ( Turizm)</t>
  </si>
  <si>
    <t>Ziyafet Servisi Yönetimi   ( Turizm)</t>
  </si>
  <si>
    <t>Araştırma Yöntem ve Teknikleri   ( Turizm)</t>
  </si>
  <si>
    <t>İşletme Yönetimi I    ( Turizm)</t>
  </si>
  <si>
    <t xml:space="preserve">Bilgi ve İletişim Teknolojisi    ( Turizm) tolga </t>
  </si>
  <si>
    <t>Önbüroda Vardiya İşlemleri    ( Turizm) tevfik</t>
  </si>
  <si>
    <t>Önbüroda Raporlama İşlemleri   ( Turizm) tevfik</t>
  </si>
  <si>
    <t>TURİZM İŞLETMELERİNDE MALİYET ANALİZLERİ tevfik</t>
  </si>
  <si>
    <t>School</t>
  </si>
  <si>
    <t>EMLAK1</t>
  </si>
  <si>
    <t>EMLAK2</t>
  </si>
  <si>
    <t>ISLETME1</t>
  </si>
  <si>
    <t>ISLETME2</t>
  </si>
  <si>
    <t>BANKA1</t>
  </si>
  <si>
    <t>BANKA2</t>
  </si>
  <si>
    <t>PAZARLAMA1</t>
  </si>
  <si>
    <t>PAZARLAMA2</t>
  </si>
  <si>
    <t>DISTICARET1</t>
  </si>
  <si>
    <t>DISTICARET2</t>
  </si>
  <si>
    <t>MUHASEBE1</t>
  </si>
  <si>
    <t>MUHASEBE2</t>
  </si>
  <si>
    <t>TURIZM1</t>
  </si>
  <si>
    <t>TURIZM2</t>
  </si>
  <si>
    <t>Ortak Dersler</t>
  </si>
  <si>
    <t>Zaman</t>
  </si>
  <si>
    <t>Ders</t>
  </si>
  <si>
    <t>a</t>
  </si>
  <si>
    <t>b</t>
  </si>
  <si>
    <t>c</t>
  </si>
  <si>
    <t>d</t>
  </si>
  <si>
    <t>e</t>
  </si>
  <si>
    <t>f</t>
  </si>
  <si>
    <t xml:space="preserve">
</t>
  </si>
  <si>
    <t>Hard or
soft</t>
  </si>
  <si>
    <t>Ders 1</t>
  </si>
  <si>
    <t>Ders 2</t>
  </si>
  <si>
    <t>Maliyeti</t>
  </si>
  <si>
    <t>Dış Ticarette Standardizasyon ( 2.öğr.dah ( DIŞ )</t>
  </si>
  <si>
    <t>EMLAK 1</t>
  </si>
  <si>
    <t>İŞLETME 1</t>
  </si>
  <si>
    <t>İŞLETME 2</t>
  </si>
  <si>
    <t>BANKA 1</t>
  </si>
  <si>
    <t>BANKA 2</t>
  </si>
  <si>
    <t>PAZARLAMA 1</t>
  </si>
  <si>
    <t>PAZARLAMA 2</t>
  </si>
  <si>
    <t>DIŞ TİCARET 1</t>
  </si>
  <si>
    <t>DIŞ TİCARET 2</t>
  </si>
  <si>
    <t>MUHASEBE 1</t>
  </si>
  <si>
    <t>MUHASEBE 2</t>
  </si>
  <si>
    <t xml:space="preserve">MUHASEBE </t>
  </si>
  <si>
    <t>TURİZM 1</t>
  </si>
  <si>
    <t>TURİZM 2</t>
  </si>
  <si>
    <t>Birinci Sınıf</t>
  </si>
  <si>
    <t>İkinci Sınıf</t>
  </si>
  <si>
    <t>Bir ve İkinci Sınıf Bir Arada</t>
  </si>
  <si>
    <t>No</t>
  </si>
  <si>
    <t>Emre aksu</t>
  </si>
  <si>
    <t>Melike Torun</t>
  </si>
  <si>
    <t>Zehra Binnur Avunduk</t>
  </si>
  <si>
    <t>Hatice Öztürk</t>
  </si>
  <si>
    <t>Zaid Alrawadien</t>
  </si>
  <si>
    <t>Aynur Önür</t>
  </si>
  <si>
    <t>Tolga akagün</t>
  </si>
  <si>
    <t>Tevfik İzgi</t>
  </si>
  <si>
    <t>Nilay Baş</t>
  </si>
  <si>
    <t>Seyit Ali Eren</t>
  </si>
  <si>
    <t>Serap Özdemir Güzel</t>
  </si>
  <si>
    <t>Muhammet Kekeç</t>
  </si>
  <si>
    <t>Fettah Turan</t>
  </si>
  <si>
    <t>Mustafa Gürkan Güler</t>
  </si>
  <si>
    <t>Güner Çöl</t>
  </si>
  <si>
    <t>Ali Kuzu</t>
  </si>
  <si>
    <t>Mehmet hakan Sağlam</t>
  </si>
  <si>
    <t>Nuran Çakır yıldız</t>
  </si>
  <si>
    <t>Özge İzdeş Terkoğlu</t>
  </si>
  <si>
    <t>Büşra Ergin</t>
  </si>
  <si>
    <t>Serdar Kuzu</t>
  </si>
  <si>
    <t>Selma Öner</t>
  </si>
  <si>
    <t>Cansu Şarkaya İçellioğlu</t>
  </si>
  <si>
    <t>Ömine Kırbaşlı</t>
  </si>
  <si>
    <t>Tuğçe Uzun Kocamış</t>
  </si>
  <si>
    <t>Sezgi Gedik</t>
  </si>
  <si>
    <t>Erkan Arslan</t>
  </si>
  <si>
    <t>Days</t>
  </si>
  <si>
    <t>TimeIntervals</t>
  </si>
  <si>
    <t>Total Assignment</t>
  </si>
  <si>
    <t>Seniority</t>
  </si>
  <si>
    <t>Name</t>
  </si>
  <si>
    <t>Time Information</t>
  </si>
  <si>
    <t>Class Informatıon</t>
  </si>
  <si>
    <t>A102</t>
  </si>
  <si>
    <t>A103</t>
  </si>
  <si>
    <t>A104</t>
  </si>
  <si>
    <t>A105</t>
  </si>
  <si>
    <t>A106</t>
  </si>
  <si>
    <t>A107</t>
  </si>
  <si>
    <t>Asis\Day</t>
  </si>
  <si>
    <t>Undesired Days</t>
  </si>
  <si>
    <t>Desired Days</t>
  </si>
  <si>
    <t>Course Information</t>
  </si>
  <si>
    <t>Course Name</t>
  </si>
  <si>
    <t>Capacity</t>
  </si>
  <si>
    <t>CourseHour</t>
  </si>
  <si>
    <t>66Dan büyük mü küçük</t>
  </si>
  <si>
    <t xml:space="preserve">Bilgisayar II (EMLAK)
</t>
  </si>
  <si>
    <t xml:space="preserve">Bilgisayar I A GRUBU Tolga Akagün
</t>
  </si>
  <si>
    <t xml:space="preserve">Türk Dili I (EMLAK)
</t>
  </si>
  <si>
    <t xml:space="preserve">YAPI MALZEM BİLGİSAYAR UYGULI I ( PAZR )
</t>
  </si>
  <si>
    <t xml:space="preserve">İŞ ve SOSYAL GÜVENLİK HUKUKU ( İŞL )
</t>
  </si>
  <si>
    <t xml:space="preserve">Bilgisayar I B GRUBU  Minire Kırbaşlı
</t>
  </si>
  <si>
    <t xml:space="preserve">Bilgisayar I  -ÇİFT   ( Banka)   Minire Kırbaşlı
</t>
  </si>
  <si>
    <t xml:space="preserve">KURUMLAR SOSYOLOJİSİ  ( İŞL )
</t>
  </si>
  <si>
    <t xml:space="preserve">Bilgisayar I  -TEK ( Banka)   Tolga Akagün
</t>
  </si>
  <si>
    <t xml:space="preserve">İletişim  ( DIŞ )
</t>
  </si>
  <si>
    <t xml:space="preserve">BİLGİSAYARDA OFİS PROGRAMLARI ( PAZR )
</t>
  </si>
  <si>
    <t xml:space="preserve">Temel Hukuk  - tek  B ( Banka) Erkan Arslan
</t>
  </si>
  <si>
    <t xml:space="preserve">Bilgisayar I (EMLAK)
</t>
  </si>
  <si>
    <t xml:space="preserve">Paket Programlar I B ( muhasebe ) Emine Ertürk
</t>
  </si>
  <si>
    <t xml:space="preserve">Paket Programlar I A ( muhasebe ) Ethem Kahveci
</t>
  </si>
  <si>
    <t xml:space="preserve">Ofis Programları I A  ( MUH) Minire Kırbaşlı
</t>
  </si>
  <si>
    <t xml:space="preserve"> İŞLETME  ( İŞL )
</t>
  </si>
  <si>
    <t xml:space="preserve">Genel Turizm    ( Turizm)
</t>
  </si>
  <si>
    <t xml:space="preserve">İletişim  ( PAZR )
</t>
  </si>
  <si>
    <t xml:space="preserve">Genel İşletme ( PAZR )
</t>
  </si>
  <si>
    <t xml:space="preserve">İKTİSAT ( İŞL )
</t>
  </si>
  <si>
    <t xml:space="preserve">Yiyecek İçecek Servisi    ( Turizm)
</t>
  </si>
  <si>
    <t xml:space="preserve"> Genel Muhasebe I/2.öğrdah ( MUH) Tuğçe Kocamış
</t>
  </si>
  <si>
    <t xml:space="preserve">İşletme  - tek  B( Banka)  M.Hakan Sağlam
</t>
  </si>
  <si>
    <t xml:space="preserve">Türk Dili I   ( yabn öğr.dahil)  ( DIŞ )
</t>
  </si>
  <si>
    <t xml:space="preserve">İŞARET DİLİ ( Banka)
</t>
  </si>
  <si>
    <t xml:space="preserve">VERGİ HUKUKU ( İŞL )
</t>
  </si>
  <si>
    <t xml:space="preserve">Matematik  ( PAZR ) 1.SINIF
</t>
  </si>
  <si>
    <t xml:space="preserve">Kat Hizmetleri   ( Turizm)
</t>
  </si>
  <si>
    <t xml:space="preserve">Matematik  (EMLAK)
</t>
  </si>
  <si>
    <t xml:space="preserve">Mesleki Yabancı Dil-I    ( Turizm)-2.SINIF
</t>
  </si>
  <si>
    <t xml:space="preserve">Temel Hukuk   ( DIŞ )
</t>
  </si>
  <si>
    <t xml:space="preserve">Pazarlama İlkeleri (EMLAK)
</t>
  </si>
  <si>
    <t xml:space="preserve">Elektronik Ticaret    ( DIŞ )
</t>
  </si>
  <si>
    <t xml:space="preserve">İşletme (EMLAK)
</t>
  </si>
  <si>
    <t xml:space="preserve">Genel Muhasebe ( ikinci öğr.dahil)  ( DIŞ )
</t>
  </si>
  <si>
    <t xml:space="preserve">Ziyafet Servisi Yönetimi   ( Turizm)
</t>
  </si>
  <si>
    <t xml:space="preserve">Atatürk İlkeleri ve İnkilap Tarihi I ( yabn öğr.dahil)
</t>
  </si>
  <si>
    <t xml:space="preserve">Yabancı Dil I    ( Turizm)
</t>
  </si>
  <si>
    <t xml:space="preserve">Türk Dili I / yabn öğr.dahl)
</t>
  </si>
  <si>
    <t xml:space="preserve">Atatürk İlkİnkılap Tarihi I  / yab öğr.dahl ( Turizm)
</t>
  </si>
  <si>
    <t xml:space="preserve">Dış Ticaret İşlemleri Muhasebesi  ( MUH)
</t>
  </si>
  <si>
    <t xml:space="preserve">MUHASEBE I  ( İŞL )
</t>
  </si>
  <si>
    <t xml:space="preserve">Matematik  ( Banka)   Müfit Giresunlu
</t>
  </si>
  <si>
    <t xml:space="preserve">Gayrimenkulde Temel Kavramlar (EMLAK)
</t>
  </si>
  <si>
    <t xml:space="preserve">KREDİ TALEPLERİNİN DEĞERLENDİRMESİ  ( Banka)
</t>
  </si>
  <si>
    <t xml:space="preserve">İNSAN İLİŞKİLERİ VE İLETİŞİM YÖNTEMLERİ ( Banka)
</t>
  </si>
  <si>
    <t xml:space="preserve">Ekonomi  ( PAZR )
</t>
  </si>
  <si>
    <t xml:space="preserve">İş ve Sosyal Güvenlik Hukuku  ( MUH)
</t>
  </si>
  <si>
    <t xml:space="preserve">Yabancı Dil I (EMLAK)
</t>
  </si>
  <si>
    <t xml:space="preserve">Türk Dili I   ( Banka)
</t>
  </si>
  <si>
    <t xml:space="preserve">Türk Dili I / yabn öğr.dahl) ( MUH)
</t>
  </si>
  <si>
    <t xml:space="preserve">TEMEL HUKUK  ( İŞL )
</t>
  </si>
  <si>
    <t xml:space="preserve">Mikro Ekonomi /2.öğr.dhl (( MUH) Selma Öner
</t>
  </si>
  <si>
    <t xml:space="preserve">Mikro İktisat (EMLAK)
</t>
  </si>
  <si>
    <t xml:space="preserve">Tur Operatörlüğü ve Seyahat Acentacılığı   ( Turizm)
</t>
  </si>
  <si>
    <t xml:space="preserve">Şirketler Muhasebesi   ( MUH)
</t>
  </si>
  <si>
    <t xml:space="preserve">PAZARLAMA İLKELERİ ( İŞL )
</t>
  </si>
  <si>
    <t xml:space="preserve">Pazarlama İlkeleri   ( PAZR )
</t>
  </si>
  <si>
    <t xml:space="preserve">TİCARET HUKUKU   ( Banka)
</t>
  </si>
  <si>
    <t xml:space="preserve"> İşletme - çift A  ( Banka)  M.Hakan Sağlam
</t>
  </si>
  <si>
    <t xml:space="preserve">YABANCI DİL I ( İŞL )
</t>
  </si>
  <si>
    <t xml:space="preserve">ATATÜRK İLKELERİ VE İNKILAP TARİHİ I  ( İŞL )
</t>
  </si>
  <si>
    <t xml:space="preserve">Atatürk İlkeleri ve İnkılap Tarihi I  ( MUH)
</t>
  </si>
  <si>
    <t xml:space="preserve">Temel Hukuk ( MUH)
</t>
  </si>
  <si>
    <t xml:space="preserve">Önbüro Hizmetleri   ( Turizm)
</t>
  </si>
  <si>
    <t xml:space="preserve">DIŞ TİCARET İŞLEMLERİ  ( Banka)
</t>
  </si>
  <si>
    <t xml:space="preserve">Muhasebe I  ( Banka)  Adem Elikara
</t>
  </si>
  <si>
    <t xml:space="preserve">Maliyet Muhasebesi /2.ÖĞR DAH ( MUH)
</t>
  </si>
  <si>
    <t xml:space="preserve">Mesleki Yabancı Dil ( 2.öğr.dahil)  ( DIŞ )
</t>
  </si>
  <si>
    <t xml:space="preserve">Araştırma Yöntem ve Teknikleri 2.öğrdah ( DIŞ )
</t>
  </si>
  <si>
    <t xml:space="preserve">MESLEKİ YABANCI DİL I  A  ( Banka)
</t>
  </si>
  <si>
    <t xml:space="preserve">Mikro İktisat  - tek ( Banka) Selma Öner
</t>
  </si>
  <si>
    <t xml:space="preserve">Bilgi ve İletişim Teknolojisi*  ( DIŞ )
</t>
  </si>
  <si>
    <t xml:space="preserve">Yabancı Dil I ( Banka)
</t>
  </si>
  <si>
    <t xml:space="preserve">TÜRK DİLİ I ( İŞL ) ( Yabancı öğ.dahil)
</t>
  </si>
  <si>
    <t xml:space="preserve">Atatürk İlkeleri ve Inkılap Tarihi I (EMLAK)
</t>
  </si>
  <si>
    <t xml:space="preserve">Yabancı Dil I   ( DIŞ )
</t>
  </si>
  <si>
    <t xml:space="preserve">İSTATİSTİK ( Banka)
</t>
  </si>
  <si>
    <t xml:space="preserve">Mikro Ekonomi  ( DIŞ )
</t>
  </si>
  <si>
    <t xml:space="preserve">Uluslararası İktisat I  ( 2.öğr.dahil) ( DIŞ )
</t>
  </si>
  <si>
    <t xml:space="preserve">Ticari Matematik /2.öğ.dah ( MUH)
</t>
  </si>
  <si>
    <t xml:space="preserve">GİRİŞİMCİLİK VE KÜÇÜK İŞLETME YÖNETİMİ( İŞL )
</t>
  </si>
  <si>
    <t xml:space="preserve">BANKA MUHASEBESİ  ( Banka)
</t>
  </si>
  <si>
    <t xml:space="preserve">MALİ TABLOLAR ANALİZİ( İŞL ) 2 SINIF 
</t>
  </si>
  <si>
    <t xml:space="preserve">Çevre Koruma   ( PAZR ) temel ilk yardım muad.
</t>
  </si>
  <si>
    <t xml:space="preserve">Konuk Giriş-Çıkış İşlemleri    ( Turizm) tevfik 1.SINIF
</t>
  </si>
  <si>
    <t xml:space="preserve">Kamu Maliyesi /2.öğr.dahl ( MUH)
</t>
  </si>
  <si>
    <t xml:space="preserve">Sigortacılığa Giriş  -tek( Banka)  Metin Dermiray 1SINF
</t>
  </si>
  <si>
    <t xml:space="preserve">Finansal Yönetim ( MUH)
</t>
  </si>
  <si>
    <t xml:space="preserve">Araştırma Yöntem ve Teknikleri   ( Turizm)
</t>
  </si>
  <si>
    <t xml:space="preserve">ATATÜRK İLKELERİ VE İNKILAP TARİHİ I  ( İŞL )
Atatürk İlkeleri ve İnkılap Tarihi I  ( Banka)
</t>
  </si>
  <si>
    <t xml:space="preserve">Emlak Pazarlama Yönetimi (EMLAK)
</t>
  </si>
  <si>
    <t xml:space="preserve">Temel Hukuk (EMLAK)
</t>
  </si>
  <si>
    <t xml:space="preserve">Uluslararası Pazarlama 2.öğr.dahil   ( DIŞ )
</t>
  </si>
  <si>
    <t>BİL- LAB1</t>
  </si>
  <si>
    <t>BİL-LAB2</t>
  </si>
  <si>
    <t>BİL-LAB3</t>
  </si>
  <si>
    <t>BİL- LAB4</t>
  </si>
  <si>
    <t xml:space="preserve">İnsan Kaynakları Yönetimi (EMLAK)
Türk Dili I / yabn öğr.dahl) ( MUH)
</t>
  </si>
  <si>
    <t xml:space="preserve">İNSAN KAYNAKLARI YÖNETİMİ ( İŞL )
Türk Dili I   ( yabn öğr.dahil)  ( DIŞ )
</t>
  </si>
  <si>
    <t xml:space="preserve">TÜKETİCİ DAVRANIŞLARI ( İŞL )
TÜKETİCİ DAVRANIŞLARI  ( PAZR )
</t>
  </si>
  <si>
    <t xml:space="preserve">İŞ ETİĞİ ( İŞL )
Meslek Etiği  ( MUH)
</t>
  </si>
  <si>
    <t>total</t>
  </si>
  <si>
    <t>difference</t>
  </si>
  <si>
    <t>Instructor-Course Match</t>
  </si>
  <si>
    <t>i</t>
  </si>
  <si>
    <t>j</t>
  </si>
  <si>
    <t>t</t>
  </si>
  <si>
    <t>Exam Output</t>
  </si>
  <si>
    <t xml:space="preserve">YABANCI DİL I ( İŞL )
Dış Ticarette Standardizasyon ( 2.öğr.dah ( DIŞ )
</t>
  </si>
  <si>
    <t xml:space="preserve">Türk Dili I (EMLAK)
Dış Ticaret İşlemleri II ( 2.öğr.dah)  ( DIŞ )
</t>
  </si>
  <si>
    <t xml:space="preserve">Bilgisayarda Sunum Teknikleri*  ( DIŞ ) 1.SINIF 
</t>
  </si>
  <si>
    <t xml:space="preserve">Temel Hukuk (EMLAK)
PAZARLAMA ARAŞTIRMASI  ( PAZR )
Temel Hukuk ( MUH)
</t>
  </si>
  <si>
    <t xml:space="preserve">Atatürk İlkeleri ve İnkılap Tarihi I  ( Banka)
</t>
  </si>
  <si>
    <t xml:space="preserve">Girişimcilik ve Franchising 
</t>
  </si>
  <si>
    <t xml:space="preserve">Yabancı Dil I (EMLAK)
Yabancı Dil I  ( PAZR )
İşletme Yönetimi I    ( Turizm)
</t>
  </si>
  <si>
    <t xml:space="preserve">Atatürk İnkılap Tarihi I  yab.öğr dahil  ( DIŞ )
</t>
  </si>
  <si>
    <t xml:space="preserve">SİGORTA PAZARLAMASI  ( Banka)
</t>
  </si>
  <si>
    <t xml:space="preserve">MESLEKİ YABANCI DİL ( PAZR )
</t>
  </si>
  <si>
    <t xml:space="preserve">Çevre Koruma      ( Turizm) tevfik
</t>
  </si>
  <si>
    <t xml:space="preserve">İşletme Finansmanı* ( MUH) 1 SINIF 
</t>
  </si>
  <si>
    <t xml:space="preserve">Önbüroda Oda İşlemleri    ( Turizm) tevfik
</t>
  </si>
  <si>
    <t xml:space="preserve">BİLGİSAYAR I -  A ( İŞL )
</t>
  </si>
  <si>
    <t xml:space="preserve">Bilgisayar I B GRUBU  Minire Kırbaşlı
BİLGİSAYARDA OFİS PROGRAMLARI ( PAZR )
</t>
  </si>
  <si>
    <t xml:space="preserve">Bilgisayar I A GRUBU Tolga Akagün
YAPI MALZEM BİLGİSAYAR UYGULI I ( PAZR )
</t>
  </si>
  <si>
    <t xml:space="preserve">Bilgi ve İletişim Teknolojisi    ( Turizm) tolga 
</t>
  </si>
  <si>
    <t xml:space="preserve">İşletme  - tek  B( Banka)  M.Hakan Sağlam
Ekonomi  ( PAZR )
</t>
  </si>
  <si>
    <t xml:space="preserve">PAZARLAMA İLKELERİ ( İŞL )
HAYAT SİGORTALARI ( Banka)
Ticari Matematik /2.öğ.dah ( MUH)
</t>
  </si>
  <si>
    <t xml:space="preserve">HİZMET PAZARLAMASI  ( Banka)
</t>
  </si>
  <si>
    <t xml:space="preserve">Ticaret Hukuku ( 2.öğr.dahl)  ( DIŞ )
</t>
  </si>
  <si>
    <t xml:space="preserve">Tüketici Davranışları (EMLAK)
SATIŞ GÜCÜ EĞİTİMİ  ( PAZR )
Şirketler Muhasebesi   ( MUH)
</t>
  </si>
  <si>
    <t xml:space="preserve">DAVRANIŞ BİLİMLERİ ( İŞL )
İNSAN İLİŞKİLERİ VE İLETİŞİM YÖNTEMLERİ ( Banka)
</t>
  </si>
  <si>
    <t xml:space="preserve">İmar ve Belediye Mevzuatı (EMLAK)
</t>
  </si>
  <si>
    <t xml:space="preserve">Temel Hukuk   ( DIŞ )
Araştırma Yöntem ve Teknikleri/2.öğr.dh( MUH)
</t>
  </si>
  <si>
    <t xml:space="preserve">Dış Ticaret İşlemleri Muhasebesi  ( MUH)
Menü Planlama    ( Turizm)
</t>
  </si>
  <si>
    <t xml:space="preserve">Sermaye Piyasalarında Gayrimenkul Yatırımları  (EMLAK)
SATIŞ SAHA PLANLAMASI  ( PAZR )
</t>
  </si>
  <si>
    <t xml:space="preserve">Gayrimenkulde Temel Kavramlar (EMLAK)
Mikro Ekonomi  ( DIŞ )
</t>
  </si>
  <si>
    <t xml:space="preserve">Ofis Programları I B  ( MUH) Ali  Kuzu
Genel Turizm    ( Turizm)
</t>
  </si>
  <si>
    <t xml:space="preserve">Genel Muhasebe (EMLAK)
Temel İlk Yardım  ( DIŞ )
</t>
  </si>
  <si>
    <t xml:space="preserve">Matematik  (EMLAK)
İŞARET DİLİ ( Banka)
</t>
  </si>
  <si>
    <t xml:space="preserve">Mikro İktisat  - çift ( Banka) M.Hakan Sağlam
</t>
  </si>
  <si>
    <t xml:space="preserve">İŞLETME FİNANSMANI ( İŞL )
YANGIN VE MÜHENDİSLİK SİGORTALARI  ( Banka)
Bilgi iletişim Teknolojileri/2.öğr.dah Hatice Özkurt 
</t>
  </si>
  <si>
    <t xml:space="preserve">TÜRK DİLİ I ( İŞL ) ( Yabancı öğ.dahil)
Türk Dili I   ( Banka)
Türk Dili I  ( yabn öğr.dahil )( PAZR )
</t>
  </si>
  <si>
    <t xml:space="preserve">İSTATİSTİK ( Banka)
Maliyet Muhasebesi /2.ÖĞR DAH ( MUH)
</t>
  </si>
  <si>
    <t xml:space="preserve">Sigortacılığa Giriş  -çift2.öğr.dah  ( Banka)   Erkan Arslan
Yabancı Dil I    ( Turizm)
</t>
  </si>
  <si>
    <t xml:space="preserve">TİCARİ MATEMATİK  ( İŞL )
Bankacılığa Giriş  ( Banka)
</t>
  </si>
  <si>
    <t xml:space="preserve">ŞİRKETLER MUHASEBESİ( İŞL )
HİZMET PAZARLAMASI  ( Banka)
GİRİŞİMCİLİK ( PAZR )
</t>
  </si>
  <si>
    <t xml:space="preserve">Mikro İktisat (EMLAK)
MUHASEBE I  ( İŞL )
</t>
  </si>
  <si>
    <t xml:space="preserve">Temel İlk Yardım   ( PAZR )  Ç.koruma muadi.
</t>
  </si>
  <si>
    <t xml:space="preserve">MÜŞTERİ İLİŞKİLERİ YÖNETİMİ  ( İŞL )
MÜŞTERİ İLİŞKİLERİ YÖNETİMİ  ( PAZR )
</t>
  </si>
  <si>
    <t xml:space="preserve">Seminer (EMLAK)
</t>
  </si>
  <si>
    <t xml:space="preserve">KAMU MALİYESİ  ( İŞL )
</t>
  </si>
  <si>
    <t xml:space="preserve">MESLEKİ YABANCI DİL I  B  ( Banka)
</t>
  </si>
  <si>
    <t xml:space="preserve">Tapu Mevzuatı (EMLAK)
Genel Alan Kontrolü   ( Turizm) tevfik
</t>
  </si>
  <si>
    <t xml:space="preserve">Para ve Bankacılık  (EMLAK)
</t>
  </si>
  <si>
    <t xml:space="preserve">TOPLUMBİLİM ( İŞL )1SINIF 
</t>
  </si>
  <si>
    <t xml:space="preserve">NAKLİYAT SİGORTALARI 2.öğr.dahil ( Banka)
</t>
  </si>
  <si>
    <t xml:space="preserve">Matematik  ( Banka)   Müfit Giresunlu
Çevre Koruma  ( DIŞ ) 2.SINIF
</t>
  </si>
  <si>
    <t xml:space="preserve">Sigortaya Giriş (EMLAK)
SİGORTA PAZARLAMASI ( PAZR )
Yabancı Dil I ( MUH)
</t>
  </si>
  <si>
    <t xml:space="preserve">TİCARİ MATEMATİK  ( İŞL )
</t>
  </si>
  <si>
    <t xml:space="preserve">İletişim  ( PAZR )
İşletme ( İkinci öğr.dahil)  ( DIŞ )
Yiyecek İçecek Servisi    ( Turizm)
</t>
  </si>
  <si>
    <t xml:space="preserve">Yabancı Dil I ( Banka)
İnsan Kaynakları Yönetimi*  ( MUH)
</t>
  </si>
  <si>
    <t xml:space="preserve">Genel Muhasebe ( ikinci öğr.dahil)  ( DIŞ )
Önbüro Hizmetleri   ( Turizm)
</t>
  </si>
  <si>
    <t xml:space="preserve">YAPI MALZELEMELERİ PAZARLAMASI ( PAZR )
İletişim  ( MUH)
</t>
  </si>
  <si>
    <t xml:space="preserve">Davranış Bilimleri*   ( MUH)
</t>
  </si>
  <si>
    <t xml:space="preserve">ÇEVRE KORUMA ( İŞL )
Önbüroda Vardiya İşlemleri    ( Turizm) tevfik
</t>
  </si>
  <si>
    <t xml:space="preserve">TEMEL HUKUK  ( İŞL )
Temel Hukuk  -çift    A ( Banka) Erkan Arslan
</t>
  </si>
  <si>
    <t xml:space="preserve">Yabancı Dil I  ( PAZR )
</t>
  </si>
  <si>
    <t xml:space="preserve">Türk Dili I  ( yabn öğr.dahil )( PAZR )
</t>
  </si>
  <si>
    <t xml:space="preserve">Yabancı Dil I   ( DIŞ )
Yabancı Dil I ( MUH)
</t>
  </si>
  <si>
    <t xml:space="preserve">Vergi Hukuku  ( MUH)
</t>
  </si>
  <si>
    <t xml:space="preserve">Lojistik ( 2.öğr.dahil)   ( DIŞ )
Önbüroda Raporlama İşlemleri   ( Turizm) tevfik
</t>
  </si>
  <si>
    <t xml:space="preserve">BİLGİSAYAR I -  B ( İŞL )
</t>
  </si>
  <si>
    <t xml:space="preserve">KAZA VE SORUMLULUK SİGORTALARI ( Banka)
Pazarlama İlkeleri   ( PAZR )
</t>
  </si>
  <si>
    <t xml:space="preserve">TİCARET HUKUKU   ( Banka)
İş ve Sosyal Güvenlik Hukuku   ( DIŞ )
</t>
  </si>
  <si>
    <t xml:space="preserve">Atatürk İlkeleri ve Inkılap Tarihi I (EMLAK)
Atatürk İlkeleri ve İnkilap Tarihi I ( yabn öğr.dahil)
Mikro Ekonomi /2.öğr.dhl (( MUH) Selma Öner
</t>
  </si>
  <si>
    <t xml:space="preserve"> İŞLETME  ( İŞL )
Turizm Mevzuatı  ( Turizm)
</t>
  </si>
  <si>
    <t xml:space="preserve">Atatürk İlkeleri ve İnkılap Tarihi I  ( MUH)
TURİZM İŞLETMELERİNDE MALİYET ANALİZLERİ tevfik
</t>
  </si>
  <si>
    <t xml:space="preserve">Bankacılığa Giriş  ( Banka)
Vergi Hukuku  ( MUH)
</t>
  </si>
  <si>
    <t xml:space="preserve">İşletme ( İkinci öğr.dahil)  ( DIŞ )
</t>
  </si>
  <si>
    <t xml:space="preserve">Z03
   İşletme  - tek  B( Banka)  M.Hakan Sağlam 1.0
   Ekonomi  ( PAZR ) 65.0
Z04
   İş ve Sosyal Güvenlik Hukuku  ( MUH) 63.0
Z05
   İşletme  - tek  B( Banka)  M.Hakan Sağlam 66.0
Z06
   İKTİSAT ( İŞL ) 48.0
Z07
   Ekonomi  ( PAZR ) 48.0
A106
   İKTİSAT ( İŞL ) 43.0
</t>
  </si>
  <si>
    <t xml:space="preserve">Z03
   İŞ ETİĞİ ( İŞL ) 28.0
   Meslek Etiği  ( MUH) 32.0
Z04
   Sigortacılığa Giriş  -tek( Banka)  Metin Dermiray 1SINF 65.0
</t>
  </si>
  <si>
    <t xml:space="preserve">Z03
   PAZARLAMA İLKELERİ ( İŞL ) 4.0
   HAYAT SİGORTALARI ( Banka) 26.0
   Ticari Matematik /2.öğ.dah ( MUH) 5.0
Z04
   Ticari Matematik /2.öğ.dah ( MUH) 66.0
Z06
   PAZARLAMA İLKELERİ ( İŞL ) 66.0
</t>
  </si>
  <si>
    <t xml:space="preserve">Z03
   HİZMET PAZARLAMASI  ( Banka) 66.0
Z04
   ŞİRKETLER MUHASEBESİ( İŞL ) 20.0
   HİZMET PAZARLAMASI  ( Banka) 2.0
   GİRİŞİMCİLİK ( PAZR ) 39.0
</t>
  </si>
  <si>
    <t xml:space="preserve">A107
   Bilgisayar II (EMLAK) 24.0
</t>
  </si>
  <si>
    <t xml:space="preserve">Z04
    İşletme - çift A  ( Banka)  M.Hakan Sağlam 60.0
</t>
  </si>
  <si>
    <t xml:space="preserve">Z03
   Ticaret Hukuku ( 2.öğr.dahl)  ( DIŞ ) 56.0
Z04
   GİRİŞİMCİLİK VE KÜÇÜK İŞLETME YÖNETİMİ( İŞL ) 44.0
</t>
  </si>
  <si>
    <t xml:space="preserve">Z03
   MUHASEBE I  ( İŞL ) 14.0
Z04
   Mikro İktisat (EMLAK) 5.0
   MUHASEBE I  ( İŞL ) 61.0
Z07
   Mikro İktisat (EMLAK) 66.0
</t>
  </si>
  <si>
    <t xml:space="preserve">Z04
   Temel İlk Yardım   ( PAZR )  Ç.koruma muadi. 49.0
</t>
  </si>
  <si>
    <t xml:space="preserve">Z03
   Tüketici Davranışları (EMLAK) 19.0
   SATIŞ GÜCÜ EĞİTİMİ  ( PAZR ) 29.0
   Şirketler Muhasebesi   ( MUH) 1.0
Z06
   Şirketler Muhasebesi   ( MUH) 66.0
</t>
  </si>
  <si>
    <t xml:space="preserve">A107
   KURUMLAR SOSYOLOJİSİ  ( İŞL ) 30.0
</t>
  </si>
  <si>
    <t xml:space="preserve">Z04
   Konuk Giriş-Çıkış İşlemleri    ( Turizm) tevfik 1.SINIF 57.0
Z06
   Matematik  ( PAZR ) 1.SINIF 64.0
A104
   Matematik  ( PAZR ) 1.SINIF 45.0
</t>
  </si>
  <si>
    <t xml:space="preserve">Z03
   DAVRANIŞ BİLİMLERİ ( İŞL ) 36.0
   İNSAN İLİŞKİLERİ VE İLETİŞİM YÖNTEMLERİ ( Banka) 28.0
Z06
   Davranış Bilimleri*   ( MUH) 41.0
Z07
   İNSAN İLİŞKİLERİ VE İLETİŞİM YÖNTEMLERİ ( Banka) 66.0
</t>
  </si>
  <si>
    <t xml:space="preserve">Z04
   Kamu Maliyesi /2.öğr.dahl ( MUH) 62.0
Z06
   Kat Hizmetleri   ( Turizm) 32.0
A104
   Kat Hizmetleri   ( Turizm) 45.0
</t>
  </si>
  <si>
    <t xml:space="preserve">Z03
   İmar ve Belediye Mevzuatı (EMLAK) 26.0
Z07
   Lojistik ( 2.öğr.dahil)   ( DIŞ ) 42.0
   Önbüroda Raporlama İşlemleri   ( Turizm) tevfik 19.0
</t>
  </si>
  <si>
    <t xml:space="preserve">Z03
   Uluslararası İktisat I  ( 2.öğr.dahil) ( DIŞ ) 43.0
Z04
   MÜŞTERİ İLİŞKİLERİ YÖNETİMİ  ( İŞL ) 20.0
   MÜŞTERİ İLİŞKİLERİ YÖNETİMİ  ( PAZR ) 30.0
</t>
  </si>
  <si>
    <t xml:space="preserve">A107
   SİGORTA PAZARLAMASI  ( Banka) 27.0
</t>
  </si>
  <si>
    <t xml:space="preserve">Z03
   Temel Hukuk   ( DIŞ ) 23.0
   Araştırma Yöntem ve Teknikleri/2.öğr.dh( MUH) 36.0
Z04
   Seminer (EMLAK) 23.0
Z05
   Temel Hukuk   ( DIŞ ) 66.0
Z07
   Araştırma Yöntem ve Teknikleri   ( Turizm) 54.0
</t>
  </si>
  <si>
    <t xml:space="preserve">Z03
   Mikro İktisat  - tek ( Banka) Selma Öner 60.0
Z04
   KAMU MALİYESİ  ( İŞL ) 17.0
</t>
  </si>
  <si>
    <t xml:space="preserve">Z03
   Dış Ticaret İşlemleri Muhasebesi  ( MUH) 12.0
   Menü Planlama    ( Turizm) 54.0
Z04
   Dış Ticaret İşlemleri Muhasebesi  ( MUH) 58.0
Z07
   BİLGİSAYAR I -  B ( İŞL ) 39.0
</t>
  </si>
  <si>
    <t xml:space="preserve">Z03
   Sermaye Piyasalarında Gayrimenkul Yatırımları  (EMLAK) 12.0
   SATIŞ SAHA PLANLAMASI  ( PAZR ) 28.0
Z04
   MESLEKİ YABANCI DİL I  B  ( Banka) 37.0
</t>
  </si>
  <si>
    <t xml:space="preserve">Z03
   Gayrimenkulde Temel Kavramlar (EMLAK) 31.0
   Mikro Ekonomi  ( DIŞ ) 35.0
Z04
   Gayrimenkulde Temel Kavramlar (EMLAK) 44.0
Z06
   KREDİ TALEPLERİNİN DEĞERLENDİRMESİ  ( Banka) 61.0
Z07
   Mikro Ekonomi  ( DIŞ ) 66.0
</t>
  </si>
  <si>
    <t xml:space="preserve">Z06
   ÇEVRE KORUMA ( İŞL ) 16.0
   Önbüroda Vardiya İşlemleri    ( Turizm) tevfik 32.0
</t>
  </si>
  <si>
    <t xml:space="preserve">Z04
   MALİ TABLOLAR ANALİZİ( İŞL ) 2 SINIF  48.0
Z05
   DIŞ TİCARET İŞLEMLERİ  ( Banka) 65.0
A103
   Çevre Koruma   ( PAZR ) temel ilk yardım muad. 35.0
A104
   Bilgisayarda Sunum Teknikleri*  ( DIŞ ) 1.SINIF  36.0
</t>
  </si>
  <si>
    <t xml:space="preserve">Z03
   Tur Operatörlüğü ve Seyahat Acentacılığı   ( Turizm) 53.0
BİL- LAB1
   Bilgisayar I  -ÇİFT   ( Banka)   Minire Kırbaşlı 25.0
BİL- LAB4
   Bilgisayar I  -ÇİFT   ( Banka)   Minire Kırbaşlı 4.0
</t>
  </si>
  <si>
    <t xml:space="preserve">Z03
   Ofis Programları I B  ( MUH) Ali  Kuzu 40.0
   Genel Turizm    ( Turizm) 26.0
Z04
   Mesleki Yabancı Dil ( 2.öğr.dahil)  ( DIŞ ) 44.0
Z05
   Genel Turizm    ( Turizm) 49.0
</t>
  </si>
  <si>
    <t xml:space="preserve">Z03
   Pazarlama İlkeleri   ( PAZR ) 66.0
Z04
   Tapu Mevzuatı (EMLAK) 26.0
   Genel Alan Kontrolü   ( Turizm) tevfik 37.0
Z07
   KAZA VE SORUMLULUK SİGORTALARI ( Banka) 26.0
   Pazarlama İlkeleri   ( PAZR ) 32.0
</t>
  </si>
  <si>
    <t xml:space="preserve">Z03
   İşletme (EMLAK) 66.0
Z04
   İşletme (EMLAK) 5.0
BİL- LAB1
   Paket Programlar I A ( muhasebe ) Ethem Kahveci 25.0
BİL- LAB4
   Paket Programlar I A ( muhasebe ) Ethem Kahveci 6.0
</t>
  </si>
  <si>
    <t xml:space="preserve">A107
   MESLEKİ YABANCI DİL ( PAZR ) 31.0
</t>
  </si>
  <si>
    <t xml:space="preserve">A102
    Genel Muhasebe I/2.öğrdah ( MUH) Tuğçe Kocamış 35.0
A107
    Genel Muhasebe I/2.öğrdah ( MUH) Tuğçe Kocamış 45.0
</t>
  </si>
  <si>
    <t xml:space="preserve">Z03
   Genel Muhasebe (EMLAK) 25.0
   Temel İlk Yardım  ( DIŞ ) 39.0
BİL- LAB1
   Bilgisayar I B GRUBU  Minire Kırbaşlı 10.0
BİL-LAB3
   Bilgisayar I B GRUBU  Minire Kırbaşlı 17.0
   BİLGİSAYARDA OFİS PROGRAMLARI ( PAZR ) 8.0
BİL- LAB4
   BİLGİSAYARDA OFİS PROGRAMLARI ( PAZR ) 25.0
</t>
  </si>
  <si>
    <t xml:space="preserve">Z03
   Matematik  (EMLAK) 22.0
   İŞARET DİLİ ( Banka) 26.0
Z04
   Matematik  (EMLAK) 66.0
Z05
   İŞARET DİLİ ( Banka) 66.0
Z06
   Ziyafet Servisi Yönetimi   ( Turizm) 54.0
</t>
  </si>
  <si>
    <t xml:space="preserve">Z03
   İletişim  ( DIŞ ) 35.0
Z04
   MESLEKİ YABANCI DİL I  A  ( Banka) 57.0
Z05
   TÜKETİCİ DAVRANIŞLARI ( İŞL ) 17.0
   TÜKETİCİ DAVRANIŞLARI  ( PAZR ) 33.0
BİL- LAB1
   Ofis Programları I A  ( MUH) Minire Kırbaşlı 25.0
BİL- LAB4
   Ofis Programları I A  ( MUH) Minire Kırbaşlı 25.0
</t>
  </si>
  <si>
    <t xml:space="preserve">A107
   Çevre Koruma      ( Turizm) tevfik 38.0
</t>
  </si>
  <si>
    <t xml:space="preserve">Z03
   Elektronik Ticaret    ( DIŞ ) 50.0
Z04
   Para ve Bankacılık  (EMLAK) 19.0
</t>
  </si>
  <si>
    <t xml:space="preserve">Z03
   Mikro İktisat  - çift ( Banka) M.Hakan Sağlam 54.0
Z04
   TOPLUMBİLİM ( İŞL )1SINIF  15.0
</t>
  </si>
  <si>
    <t xml:space="preserve">Z04
   NAKLİYAT SİGORTALARI 2.öğr.dahil ( Banka) 28.0
A107
   İşletme Finansmanı* ( MUH) 1 SINIF  39.0
</t>
  </si>
  <si>
    <t xml:space="preserve">Z03
   İŞLETME FİNANSMANI ( İŞL ) 20.0
   YANGIN VE MÜHENDİSLİK SİGORTALARI  ( Banka) 26.0
   Bilgi iletişim Teknolojileri/2.öğr.dah Hatice Özkurt  3.0
</t>
  </si>
  <si>
    <t xml:space="preserve">Z03
   Finansal Yönetim ( MUH) 62.0
Z07
   TİCARET HUKUKU   ( Banka) 45.0
   İş ve Sosyal Güvenlik Hukuku   ( DIŞ ) 18.0
A102
   TİCARET HUKUKU   ( Banka) 48.0
A107
   İŞ ve SOSYAL GÜVENLİK HUKUKU ( İŞL ) 45.0
</t>
  </si>
  <si>
    <t xml:space="preserve">A107
   Önbüroda Oda İşlemleri    ( Turizm) tevfik 22.0
</t>
  </si>
  <si>
    <t xml:space="preserve">A107
   BİLGİSAYAR I -  A ( İŞL ) 32.0
BİL- LAB1
   YAPI MALZEM BİLGİSAYAR UYGULI I ( PAZR ) 25.0
BİL-LAB2
   Bilgisayar I A GRUBU Tolga Akagün 25.0
BİL- LAB4
   Bilgisayar I A GRUBU Tolga Akagün 4.0
   YAPI MALZEM BİLGİSAYAR UYGULI I ( PAZR ) 1.0
</t>
  </si>
  <si>
    <t xml:space="preserve">Z03
   Temel Hukuk  - tek  B ( Banka) Erkan Arslan 64.0
Z04
   Temel Hukuk (EMLAK) 66.0
Z05
   TEMEL HUKUK  ( İŞL ) 66.0
Z06
   TEMEL HUKUK  ( İŞL ) 3.0
   Temel Hukuk  -çift    A ( Banka) Erkan Arslan 56.0
Z07
   Temel Hukuk ( MUH) 66.0
A102
   Uluslararası Pazarlama 2.öğr.dahil   ( DIŞ ) 46.0
A105
   Temel Hukuk (EMLAK) 9.0
   PAZARLAMA ARAŞTIRMASI  ( PAZR ) 29.0
   Temel Hukuk ( MUH) 5.0
</t>
  </si>
  <si>
    <t xml:space="preserve">Z03
   Yabancı Dil I (EMLAK) 66.0
Z04
   Yabancı Dil I ( Banka) 65.0
Z05
   Yabancı Dil I ( Banka) 39.0
   İnsan Kaynakları Yönetimi*  ( MUH) 27.0
Z06
   Yabancı Dil I  ( PAZR ) 66.0
Z07
   YABANCI DİL I ( İŞL ) 65.0
A102
   YABANCI DİL I ( İŞL ) 4.0
   Dış Ticarette Standardizasyon ( 2.öğr.dah ( DIŞ ) 44.0
A106
   Yabancı Dil I (EMLAK) 4.0
   Yabancı Dil I  ( PAZR ) 9.0
   İşletme Yönetimi I    ( Turizm) 30.0
</t>
  </si>
  <si>
    <t xml:space="preserve">Z03
   TÜRK DİLİ I ( İŞL ) ( Yabancı öğ.dahil) 8.0
   Türk Dili I   ( Banka) 55.0
   Türk Dili I  ( yabn öğr.dahil )( PAZR ) 3.0
Z04
   Türk Dili I (EMLAK) 66.0
Z05
   TÜRK DİLİ I ( İŞL ) ( Yabancı öğ.dahil) 66.0
Z06
   Türk Dili I  ( yabn öğr.dahil )( PAZR ) 64.0
Z07
   Türk Dili I   ( Banka) 66.0
A102
   Türk Dili I (EMLAK) 4.0
   Dış Ticaret İşlemleri II ( 2.öğr.dah)  ( DIŞ ) 44.0
BİL-LAB2
   Paket Programlar I B ( muhasebe ) Emine Ertürk 25.0
BİL-LAB3
   Paket Programlar I B ( muhasebe ) Emine Ertürk 11.0
BİL- LAB4
   Bilgi ve İletişim Teknolojisi    ( Turizm) tolga  18.0
</t>
  </si>
  <si>
    <t xml:space="preserve">Z03
   Atatürk İlkeleri ve Inkılap Tarihi I (EMLAK) 66.0
Z04
   Atatürk İlkeleri ve İnkılap Tarihi I  ( Banka) 66.0
Z05
   Genel Muhasebe ( ikinci öğr.dahil)  ( DIŞ ) 47.0
   Önbüro Hizmetleri   ( Turizm) 19.0
Z06
   Önbüro Hizmetleri   ( Turizm) 55.0
Z07
   Atatürk İlkeleri ve Inkılap Tarihi I (EMLAK) 8.0
   Atatürk İlkeleri ve İnkilap Tarihi I ( yabn öğr.dahil) 26.0
   Mikro Ekonomi /2.öğr.dhl (( MUH) Selma Öner 32.0
A102
   ATATÜRK İLKELERİ VE İNKILAP TARİHİ I  ( İŞL ) 23.0
   Atatürk İlkeleri ve İnkılap Tarihi I  ( Banka) 24.0
A103
   ATATÜRK İLKELERİ VE İNKILAP TARİHİ I  ( İŞL ) 45.0
A104
   Genel Muhasebe ( ikinci öğr.dahil)  ( DIŞ ) 45.0
A105
   Atatürk İlkeleri ve İnkılap Tarihi I  ( Banka) 45.0
A106
   Mikro Ekonomi /2.öğr.dhl (( MUH) Selma Öner 43.0
A107
   Atatürk İlkeleri ve İnkilap Tarihi I ( yabn öğr.dahil) 41.0
</t>
  </si>
  <si>
    <t xml:space="preserve">Z03
   BANKA MUHASEBESİ  ( Banka) 66.0
Z04
   Emlak Pazarlama Yönetimi (EMLAK) 24.0
</t>
  </si>
  <si>
    <t xml:space="preserve">Z03
   Matematik  ( Banka)   Müfit Giresunlu 66.0
Z04
   Matematik  ( Banka)   Müfit Giresunlu 43.0
   Çevre Koruma  ( DIŞ ) 2.SINIF 15.0
Z05
    İŞLETME  ( İŞL ) 66.0
Z06
   Matematik  ( Banka)   Müfit Giresunlu 66.0
Z07
    İŞLETME  ( İŞL ) 10.0
   Turizm Mevzuatı  ( Turizm) 53.0
BİL- LAB1
   Bilgisayar I (EMLAK) 21.0
BİL-LAB2
   Bilgisayar I (EMLAK) 25.0
BİL- LAB4
   Bilgisayar I (EMLAK) 25.0
</t>
  </si>
  <si>
    <t xml:space="preserve">Z07
   Araştırma Yöntem ve Teknikleri 2.öğrdah ( DIŞ ) 46.0
A105
   Girişimcilik ve Franchising  30.0
BİL- LAB1
   Bilgisayar I  -TEK ( Banka)   Tolga Akagün 25.0
BİL- LAB4
   Bilgisayar I  -TEK ( Banka)   Tolga Akagün 3.0
</t>
  </si>
  <si>
    <t xml:space="preserve">Z03
   Muhasebe I  ( Banka)  Adem Elikara 62.0
Z04
   Muhasebe I  ( Banka)  Adem Elikara 65.0
Z05
   YAPI MALZELEMELERİ PAZARLAMASI ( PAZR ) 26.0
   İletişim  ( MUH) 28.0
Z06
   Mesleki Yabancı Dil-I    ( Turizm)-2.SINIF 54.0
Z07
   Bilgi ve İletişim Teknolojisi*  ( DIŞ ) 50.0
</t>
  </si>
  <si>
    <t xml:space="preserve">Z03
   İSTATİSTİK ( Banka) 32.0
   Maliyet Muhasebesi /2.ÖĞR DAH ( MUH) 7.0
Z05
   Maliyet Muhasebesi /2.ÖĞR DAH ( MUH) 66.0
Z06
   İSTATİSTİK ( Banka) 66.0
</t>
  </si>
  <si>
    <t xml:space="preserve">Z03
   Sigortacılığa Giriş  -çift2.öğr.dah  ( Banka)   Erkan Arslan 60.0
   Yabancı Dil I    ( Turizm) 4.0
Z04
   Sigortaya Giriş (EMLAK) 13.0
   SİGORTA PAZARLAMASI ( PAZR ) 41.0
   Yabancı Dil I ( MUH) 12.0
Z05
   Yabancı Dil I   ( DIŞ ) 66.0
Z06
   Yabancı Dil I   ( DIŞ ) 10.0
   Yabancı Dil I ( MUH) 55.0
Z07
   Yabancı Dil I    ( Turizm) 66.0
</t>
  </si>
  <si>
    <t xml:space="preserve">Z03
   İnsan Kaynakları Yönetimi (EMLAK) 29.0
   Türk Dili I / yabn öğr.dahl) ( MUH) 6.0
Z04
   İNSAN KAYNAKLARI YÖNETİMİ ( İŞL ) 44.0
   Türk Dili I   ( yabn öğr.dahil)  ( DIŞ ) 22.0
Z05
   Türk Dili I / yabn öğr.dahl) ( MUH) 66.0
Z06
   Türk Dili I / yabn öğr.dahl) 66.0
Z07
   Türk Dili I   ( yabn öğr.dahil)  ( DIŞ ) 65.0
</t>
  </si>
  <si>
    <t xml:space="preserve">Z03
   Pazarlama İlkeleri (EMLAK) 50.0
Z04
   Atatürk İnkılap Tarihi I  yab.öğr dahil  ( DIŞ ) 66.0
Z05
   Atatürk İlkİnkılap Tarihi I  / yab öğr.dahl ( Turizm) 66.0
Z06
   Atatürk İlkeleri ve İnkılap Tarihi I  ( MUH) 66.0
Z07
   Atatürk İlkeleri ve İnkılap Tarihi I  ( MUH) 4.0
   TURİZM İŞLETMELERİNDE MALİYET ANALİZLERİ tevfik 55.0
A102
   VERGİ HUKUKU ( İŞL ) 46.0
A104
   Genel İşletme ( PAZR ) 45.0
A105
   Genel İşletme ( PAZR ) 44.0
A106
   Atatürk İnkılap Tarihi I  yab.öğr dahil  ( DIŞ ) 28.0
</t>
  </si>
  <si>
    <t xml:space="preserve">Z03
   TİCARİ MATEMATİK  ( İŞL ) 13.0
   Bankacılığa Giriş  ( Banka) 53.0
Z04
   TİCARİ MATEMATİK  ( İŞL ) 54.0
Z06
   Vergi Hukuku  ( MUH) 66.0
Z07
   Bankacılığa Giriş  ( Banka) 65.0
   Vergi Hukuku  ( MUH) 1.0
</t>
  </si>
  <si>
    <t xml:space="preserve">Z03
   İletişim  ( PAZR ) 66.0
Z04
   İletişim  ( PAZR ) 11.0
   İşletme ( İkinci öğr.dahil)  ( DIŞ ) 31.0
   Yiyecek İçecek Servisi    ( Turizm) 9.0
Z05
   Yiyecek İçecek Servisi    ( Turizm) 66.0
Z07
   İşletme ( İkinci öğr.dahil)  ( DIŞ ) 66.0
</t>
  </si>
  <si>
    <t xml:space="preserve">Serap Özdemir Güzel
Ali Kuzu
</t>
  </si>
  <si>
    <t xml:space="preserve">Zehra Binnur Avunduk
Mustafa Gürkan Güler
</t>
  </si>
  <si>
    <t xml:space="preserve">Serap Özdemir Güzel
Ömine Kırbaşlı
</t>
  </si>
  <si>
    <t xml:space="preserve">Özge İzdeş Terkoğlu
Selma Öner
</t>
  </si>
  <si>
    <t xml:space="preserve">Tevfik İzgi
Ali Kuzu
</t>
  </si>
  <si>
    <t xml:space="preserve">Mustafa Gürkan Güler
Ali Kuzu
</t>
  </si>
  <si>
    <t xml:space="preserve">Muhammet Kekeç
Ömine Kırbaşlı
</t>
  </si>
  <si>
    <t xml:space="preserve">Seyit Ali Eren
Nuran Çakır yıldız
</t>
  </si>
  <si>
    <t xml:space="preserve">Emre aksu
Hatice Öztürk
</t>
  </si>
  <si>
    <t xml:space="preserve">Tolga akagün
Muhammet Kekeç
</t>
  </si>
  <si>
    <t xml:space="preserve">Seyit Ali Eren
Özge İzdeş Terkoğlu
</t>
  </si>
  <si>
    <t xml:space="preserve">Emre aksu
Muhammet Kekeç
</t>
  </si>
  <si>
    <t xml:space="preserve">Tolga akagün
Fettah Turan
</t>
  </si>
  <si>
    <t xml:space="preserve">Nilay Baş
Serap Özdemir Güzel
</t>
  </si>
  <si>
    <t xml:space="preserve">Tolga akagün
Serdar Kuzu
</t>
  </si>
  <si>
    <t xml:space="preserve">Melike Torun
Selma Öner
</t>
  </si>
  <si>
    <t xml:space="preserve">Seyit Ali Eren
Ömine Kırbaşlı
</t>
  </si>
  <si>
    <t xml:space="preserve">Fettah Turan
Güner Çöl
</t>
  </si>
  <si>
    <t xml:space="preserve">Ali Kuzu
Ömine Kırbaşlı
</t>
  </si>
  <si>
    <t xml:space="preserve">Güner Çöl
Cansu Şarkaya İçellioğlu
</t>
  </si>
  <si>
    <t xml:space="preserve">Tevfik İzgi
Nuran Çakır yıldız
</t>
  </si>
  <si>
    <t xml:space="preserve">Hatice Öztürk
Aynur Önür
</t>
  </si>
  <si>
    <t xml:space="preserve">Melike Torun
Fettah Turan
</t>
  </si>
  <si>
    <t xml:space="preserve">Nilay Baş
Selma Öner
</t>
  </si>
  <si>
    <t xml:space="preserve">Mehmet hakan Sağlam
Cansu Şarkaya İçellioğlu
</t>
  </si>
  <si>
    <t xml:space="preserve">Serap Özdemir Güzel
Serdar Kuzu
</t>
  </si>
  <si>
    <t xml:space="preserve">Muhammet Kekeç
Ali Kuzu
</t>
  </si>
  <si>
    <t xml:space="preserve">Mustafa Gürkan Güler
Güner Çöl
</t>
  </si>
  <si>
    <t xml:space="preserve">Aynur Önür
Ali Kuzu
</t>
  </si>
  <si>
    <t xml:space="preserve">Aynur Önür
Özge İzdeş Terkoğlu
</t>
  </si>
  <si>
    <t xml:space="preserve">Aynur Önür
Tolga akagün
</t>
  </si>
  <si>
    <t xml:space="preserve">Nilay Baş
Mustafa Gürkan Güler
</t>
  </si>
  <si>
    <t xml:space="preserve">Nilay Baş
Tuğçe Uzun Kocamış
</t>
  </si>
  <si>
    <t xml:space="preserve">Özge İzdeş Terkoğlu
Ömine Kırbaşlı
</t>
  </si>
  <si>
    <t xml:space="preserve">Zehra Binnur Avunduk
Tolga akagün
</t>
  </si>
  <si>
    <t xml:space="preserve">Emre aksu
Büşra Ergin
</t>
  </si>
  <si>
    <t xml:space="preserve">Zehra Binnur Avunduk
Büşra Ergin
</t>
  </si>
  <si>
    <t xml:space="preserve">Hatice Öztürk
Cansu Şarkaya İçellioğlu
</t>
  </si>
  <si>
    <t xml:space="preserve">Aynur Önür
Büşra Ergin
</t>
  </si>
  <si>
    <t xml:space="preserve">Hatice Öztürk
Ali Kuzu
</t>
  </si>
  <si>
    <t xml:space="preserve">Tevfik İzgi
Selma Öner
</t>
  </si>
  <si>
    <t xml:space="preserve">Seyit Ali Eren
Fettah Turan
</t>
  </si>
  <si>
    <t xml:space="preserve">Muhammet Kekeç
Nuran Çakır yıldız
</t>
  </si>
  <si>
    <t xml:space="preserve">Zaid Alrawadien
Fettah Turan
</t>
  </si>
  <si>
    <t xml:space="preserve">Zaid Alrawadien
Nilay Baş
</t>
  </si>
  <si>
    <t xml:space="preserve">Zaid Alrawadien
Selma Öner
</t>
  </si>
  <si>
    <t xml:space="preserve">Mehmet hakan Sağlam
Ömine Kırbaşlı
</t>
  </si>
  <si>
    <t xml:space="preserve">Serdar Kuzu
Cansu Şarkaya İçellioğlu
</t>
  </si>
  <si>
    <t xml:space="preserve">Nilay Baş
Fettah Turan
</t>
  </si>
  <si>
    <t xml:space="preserve">Tevfik İzgi
Muhammet Kekeç
</t>
  </si>
  <si>
    <t xml:space="preserve">Zehra Binnur Avunduk
Aynur Önür
</t>
  </si>
  <si>
    <t xml:space="preserve">Zaid Alrawadien
Mehmet hakan Sağlam
</t>
  </si>
  <si>
    <t xml:space="preserve">Zaid Alrawadien
Ömine Kırbaşlı
</t>
  </si>
  <si>
    <t xml:space="preserve">Aynur Önür
Nuran Çakır yıldız
</t>
  </si>
  <si>
    <t xml:space="preserve">Tevfik İzgi
Serap Özdemir Güzel
</t>
  </si>
  <si>
    <t xml:space="preserve">Melike Torun
Ali Kuzu
</t>
  </si>
  <si>
    <t xml:space="preserve">Zaid Alrawadien
Serdar Kuzu
</t>
  </si>
  <si>
    <t xml:space="preserve">Güner Çöl
Tuğçe Uzun Kocamış
</t>
  </si>
  <si>
    <t xml:space="preserve">Özge İzdeş Terkoğlu
Serdar Kuzu
</t>
  </si>
  <si>
    <t xml:space="preserve">Seyit Ali Eren
Büşra Ergin
</t>
  </si>
  <si>
    <t xml:space="preserve">Mustafa Gürkan Güler
Nuran Çakır yıldız
</t>
  </si>
  <si>
    <t xml:space="preserve">Ali Kuzu
Cansu Şarkaya İçellioğlu
</t>
  </si>
  <si>
    <t xml:space="preserve">Zehra Binnur Avunduk
Mehmet hakan Sağlam
</t>
  </si>
  <si>
    <t xml:space="preserve">Emre aksu
Güner Çöl
</t>
  </si>
  <si>
    <t xml:space="preserve">Muhammet Kekeç
Cansu Şarkaya İçellioğlu
</t>
  </si>
  <si>
    <t xml:space="preserve">Büşra Ergin
Tuğçe Uzun Kocamış
</t>
  </si>
  <si>
    <t xml:space="preserve">Büşra Ergin
Serdar Kuzu
</t>
  </si>
  <si>
    <t xml:space="preserve">Hatice Öztürk
Mehmet hakan Sağlam
</t>
  </si>
  <si>
    <t xml:space="preserve">Emre aksu
Serap Özdemir Güzel
</t>
  </si>
  <si>
    <t xml:space="preserve">Emre aksu
Tevfik İzgi
</t>
  </si>
  <si>
    <t xml:space="preserve">Aynur Önür
Tevfik İzgi
</t>
  </si>
  <si>
    <t xml:space="preserve">Zehra Binnur Avunduk
Ali Kuzu
</t>
  </si>
  <si>
    <t xml:space="preserve">Aynur Önür
Nilay Baş
</t>
  </si>
  <si>
    <t xml:space="preserve">Hatice Öztürk
Fettah Turan
</t>
  </si>
  <si>
    <t xml:space="preserve">Zaid Alrawadien
Mustafa Gürkan Güler
</t>
  </si>
  <si>
    <t xml:space="preserve">Serap Özdemir Güzel
Muhammet Kekeç
</t>
  </si>
  <si>
    <t xml:space="preserve">Tolga akagün
Ömine Kırbaşlı
</t>
  </si>
  <si>
    <t xml:space="preserve">Tevfik İzgi
Güner Çöl
</t>
  </si>
  <si>
    <t xml:space="preserve">Melike Torun
Zehra Binnur Avunduk
</t>
  </si>
  <si>
    <t xml:space="preserve">Melike Torun
Aynur Önür
</t>
  </si>
  <si>
    <t xml:space="preserve">Tolga akagün
Tevfik İzgi
</t>
  </si>
  <si>
    <t xml:space="preserve">Melike Torun
Özge İzdeş Terkoğlu
</t>
  </si>
  <si>
    <t xml:space="preserve">Mustafa Gürkan Güler
Özge İzdeş Terkoğlu
</t>
  </si>
  <si>
    <t xml:space="preserve">Emre aksu
Tolga akagün
</t>
  </si>
  <si>
    <t xml:space="preserve">Emre aksu
Tuğçe Uzun Kocamış
</t>
  </si>
  <si>
    <t xml:space="preserve">Nilay Baş
Seyit Ali Eren
</t>
  </si>
  <si>
    <t xml:space="preserve">Mustafa Gürkan Güler
Selma Öner
</t>
  </si>
  <si>
    <t xml:space="preserve">Hatice Öztürk
Güner Çöl
</t>
  </si>
  <si>
    <t xml:space="preserve">Nilay Baş
Cansu Şarkaya İçellioğlu
</t>
  </si>
  <si>
    <t xml:space="preserve">Tolga akagün
Büşra Ergin
</t>
  </si>
  <si>
    <t xml:space="preserve">Muhammet Kekeç
Mustafa Gürkan Güler
</t>
  </si>
  <si>
    <t xml:space="preserve">Melike Torun
Mehmet hakan Sağlam
</t>
  </si>
  <si>
    <t xml:space="preserve">Emre aksu
Ömine Kırbaşlı
</t>
  </si>
  <si>
    <t xml:space="preserve">Serap Özdemir Güzel
Özge İzdeş Terkoğlu
</t>
  </si>
  <si>
    <t xml:space="preserve">Melike Torun
Tuğçe Uzun Kocamış
</t>
  </si>
  <si>
    <t xml:space="preserve">Melike Torun
Seyit Ali Eren
</t>
  </si>
  <si>
    <t xml:space="preserve">Serap Özdemir Güzel
Selma Öner
</t>
  </si>
  <si>
    <t xml:space="preserve">Hatice Öztürk
Mustafa Gürkan Güler
</t>
  </si>
  <si>
    <t xml:space="preserve">Mehmet hakan Sağlam
Tuğçe Uzun Kocamış
</t>
  </si>
  <si>
    <t xml:space="preserve">Melike Torun
Serap Özdemir Güzel
</t>
  </si>
  <si>
    <t xml:space="preserve">Zehra Binnur Avunduk
Serap Özdemir Güzel
</t>
  </si>
  <si>
    <t xml:space="preserve">Nuran Çakır yıldız
Cansu Şarkaya İçellioğlu
</t>
  </si>
  <si>
    <t xml:space="preserve">Güner Çöl
Ali Kuzu
</t>
  </si>
  <si>
    <t xml:space="preserve">Zaid Alrawadien
Büşra Ergin
</t>
  </si>
  <si>
    <t xml:space="preserve">Emre aksu
Zehra Binnur Avunduk
</t>
  </si>
  <si>
    <t xml:space="preserve">Serdar Kuzu
Tuğçe Uzun Kocamış
</t>
  </si>
  <si>
    <t xml:space="preserve">Aynur Önür
Serdar Kuzu
</t>
  </si>
  <si>
    <t xml:space="preserve">Emre aksu
Fettah Turan
</t>
  </si>
  <si>
    <t xml:space="preserve">Fettah Turan
Cansu Şarkaya İçellioğlu
</t>
  </si>
  <si>
    <t xml:space="preserve">Zaid Alrawadien
Tolga akagün
</t>
  </si>
  <si>
    <t xml:space="preserve">Zehra Binnur Avunduk
Nilay Baş
</t>
  </si>
  <si>
    <t xml:space="preserve">Zaid Alrawadien
Cansu Şarkaya İçellioğlu
</t>
  </si>
  <si>
    <t xml:space="preserve">Melike Torun
Tolga akagün
</t>
  </si>
  <si>
    <t xml:space="preserve">Tevfik İzgi
Seyit Ali Eren
</t>
  </si>
  <si>
    <t xml:space="preserve">Nilay Baş
Mehmet hakan Sağlam
</t>
  </si>
  <si>
    <t xml:space="preserve">Hatice Öztürk
Selma Öner
</t>
  </si>
  <si>
    <t xml:space="preserve">Zehra Binnur Avunduk
Fettah Turan
</t>
  </si>
  <si>
    <t xml:space="preserve">Melike Torun
Nilay Baş
</t>
  </si>
  <si>
    <t xml:space="preserve">Hatice Öztürk
Serdar Kuzu
</t>
  </si>
  <si>
    <t xml:space="preserve">Tolga akagün
Güner Çöl
</t>
  </si>
  <si>
    <t xml:space="preserve">Emre aksu
Selma Öner
</t>
  </si>
  <si>
    <t xml:space="preserve">Zehra Binnur Avunduk
Cansu Şarkaya İçellioğlu
</t>
  </si>
  <si>
    <t xml:space="preserve">Aynur Önür
Mehmet hakan Sağlam
</t>
  </si>
  <si>
    <t xml:space="preserve">Fettah Turan
Serdar Kuzu
</t>
  </si>
  <si>
    <t xml:space="preserve">Emre aksu
Nuran Çakır yıldız
</t>
  </si>
  <si>
    <t xml:space="preserve">Serap Özdemir Güzel
Güner Çöl
</t>
  </si>
  <si>
    <t xml:space="preserve">Tevfik İzgi
Serdar Kuzu
</t>
  </si>
  <si>
    <t xml:space="preserve">Hatice Öztürk
Muhammet Kekeç
</t>
  </si>
  <si>
    <t xml:space="preserve">Ali Kuzu
Nuran Çakır yıldız
</t>
  </si>
  <si>
    <t xml:space="preserve">Muhammet Kekeç
Özge İzdeş Terkoğlu
</t>
  </si>
  <si>
    <t xml:space="preserve">Muhammet Kekeç
Tuğçe Uzun Kocamış
</t>
  </si>
  <si>
    <t xml:space="preserve">Zaid Alrawadien
Muhammet Kekeç
</t>
  </si>
  <si>
    <t xml:space="preserve">Seyit Ali Eren
Selma Öner
</t>
  </si>
  <si>
    <t xml:space="preserve">Seyit Ali Eren
Muhammet Kekeç
</t>
  </si>
  <si>
    <t xml:space="preserve">Fettah Turan
Özge İzdeş Terkoğlu
</t>
  </si>
  <si>
    <t xml:space="preserve">Melike Torun
Hatice Öztürk
</t>
  </si>
  <si>
    <t xml:space="preserve">Nuran Çakır yıldız
Büşra Ergin
</t>
  </si>
  <si>
    <t xml:space="preserve">Aynur Önür
Ömine Kırbaşlı
</t>
  </si>
  <si>
    <t xml:space="preserve">Melike Torun
Büşra Ergin
</t>
  </si>
  <si>
    <t xml:space="preserve">Emre aksu
Zaid Alrawadien
</t>
  </si>
  <si>
    <t xml:space="preserve">Cansu Şarkaya İçellioğlu
Tuğçe Uzun Kocamış
</t>
  </si>
  <si>
    <t xml:space="preserve">Nilay Baş
Güner Çöl
</t>
  </si>
  <si>
    <t xml:space="preserve">Zaid Alrawadien
Özge İzdeş Terkoğlu
</t>
  </si>
  <si>
    <t xml:space="preserve">Seyit Ali Eren
Güner Çöl
</t>
  </si>
  <si>
    <t xml:space="preserve">Hatice Öztürk
Nuran Çakır yıldız
</t>
  </si>
  <si>
    <t xml:space="preserve">Aynur Önür
Mustafa Gürkan Güler
</t>
  </si>
  <si>
    <t xml:space="preserve">Zehra Binnur Avunduk
Tuğçe Uzun Kocamış
</t>
  </si>
  <si>
    <t xml:space="preserve">Mustafa Gürkan Güler
Tuğçe Uzun Kocamış
</t>
  </si>
  <si>
    <t xml:space="preserve">Z03
   Tevfik İzgi
   Muhammet Kekeç
Z04
   Melike Torun
   Özge İzdeş Terkoğlu
Z05
   Fettah Turan
   Cansu Şarkaya İçellioğlu
Z06
   Aynur Önür
   Mehmet hakan Sağlam
Z07
   Seyit Ali Eren
   Selma Öner
A106
   Ali Kuzu
   Ömine Kırbaşlı
</t>
  </si>
  <si>
    <t xml:space="preserve">Z03
   Zehra Binnur Avunduk
   Aynur Önür
Z04
   Özge İzdeş Terkoğlu
   Ömine Kırbaşlı
</t>
  </si>
  <si>
    <t xml:space="preserve">Z03
   Zaid Alrawadien
   Mehmet hakan Sağlam
Z04
   Mustafa Gürkan Güler
   Özge İzdeş Terkoğlu
Z06
   Fettah Turan
   Serdar Kuzu
</t>
  </si>
  <si>
    <t xml:space="preserve">Z03
   Zaid Alrawadien
   Ömine Kırbaşlı
Z04
   Emre aksu
   Tolga akagün
</t>
  </si>
  <si>
    <t xml:space="preserve">A107
   Tolga akagün
   Fettah Turan
</t>
  </si>
  <si>
    <t xml:space="preserve">Z04
   Emre aksu
   Tuğçe Uzun Kocamış
</t>
  </si>
  <si>
    <t xml:space="preserve">Z03
   Aynur Önür
   Nuran Çakır yıldız
Z04
   Nilay Baş
   Seyit Ali Eren
</t>
  </si>
  <si>
    <t xml:space="preserve">Z03
   Tevfik İzgi
   Serap Özdemir Güzel
Z04
   Mustafa Gürkan Güler
   Selma Öner
Z07
   Seyit Ali Eren
   Muhammet Kekeç
</t>
  </si>
  <si>
    <t xml:space="preserve">Z04
   Hatice Öztürk
   Güner Çöl
</t>
  </si>
  <si>
    <t xml:space="preserve">Z03
   Melike Torun
   Ali Kuzu
Z06
   Emre aksu
   Nuran Çakır yıldız
</t>
  </si>
  <si>
    <t xml:space="preserve">A107
   Hatice Öztürk
   Aynur Önür
</t>
  </si>
  <si>
    <t xml:space="preserve">Z04
   Zaid Alrawadien
   Mehmet hakan Sağlam
Z06
   Serap Özdemir Güzel
   Güner Çöl
A104
   Tolga akagün
   Muhammet Kekeç
</t>
  </si>
  <si>
    <t xml:space="preserve">Z03
   Zaid Alrawadien
   Serdar Kuzu
Z06
   Mehmet hakan Sağlam
   Ömine Kırbaşlı
Z07
   Fettah Turan
   Özge İzdeş Terkoğlu
</t>
  </si>
  <si>
    <t xml:space="preserve">Z04
   Nilay Baş
   Cansu Şarkaya İçellioğlu
Z06
   Tevfik İzgi
   Serdar Kuzu
A104
   Seyit Ali Eren
   Özge İzdeş Terkoğlu
</t>
  </si>
  <si>
    <t xml:space="preserve">Z03
   Güner Çöl
   Tuğçe Uzun Kocamış
Z07
   Melike Torun
   Hatice Öztürk
</t>
  </si>
  <si>
    <t xml:space="preserve">Z03
   Özge İzdeş Terkoğlu
   Serdar Kuzu
Z04
   Tolga akagün
   Büşra Ergin
</t>
  </si>
  <si>
    <t xml:space="preserve">A107
   Serap Özdemir Güzel
   Ali Kuzu
</t>
  </si>
  <si>
    <t xml:space="preserve">Z03
   Seyit Ali Eren
   Büşra Ergin
Z04
   Tevfik İzgi
   Selma Öner
Z05
   Zaid Alrawadien
   Tolga akagün
Z07
   Muhammet Kekeç
   Cansu Şarkaya İçellioğlu
</t>
  </si>
  <si>
    <t xml:space="preserve">Z03
   Mustafa Gürkan Güler
   Nuran Çakır yıldız
Z04
   Tolga akagün
   Büşra Ergin
</t>
  </si>
  <si>
    <t xml:space="preserve">Z03
   Ali Kuzu
   Cansu Şarkaya İçellioğlu
Z04
   Muhammet Kekeç
   Mustafa Gürkan Güler
Z07
   Emre aksu
   Fettah Turan
</t>
  </si>
  <si>
    <t xml:space="preserve">Z03
   Zehra Binnur Avunduk
   Mehmet hakan Sağlam
Z04
   Hatice Öztürk
   Aynur Önür
</t>
  </si>
  <si>
    <t xml:space="preserve">Z03
   Emre aksu
   Güner Çöl
Z04
   Melike Torun
   Mehmet hakan Sağlam
Z06
   Serap Özdemir Güzel
   Özge İzdeş Terkoğlu
Z07
   Nuran Çakır yıldız
   Büşra Ergin
</t>
  </si>
  <si>
    <t xml:space="preserve">Z06
   Hatice Öztürk
   Muhammet Kekeç
</t>
  </si>
  <si>
    <t xml:space="preserve">Z04
   Mustafa Gürkan Güler
   Ali Kuzu
Z05
   Zehra Binnur Avunduk
   Nilay Baş
A103
   Seyit Ali Eren
   Nuran Çakır yıldız
A104
   Emre aksu
   Muhammet Kekeç
</t>
  </si>
  <si>
    <t xml:space="preserve">Z03
   Muhammet Kekeç
   Cansu Şarkaya İçellioğlu
LAB1
   Aynur Önür
   Tolga akagün
LAB4
   Seyit Ali Eren
   Fettah Turan
</t>
  </si>
  <si>
    <t xml:space="preserve">Z03
   Büşra Ergin
   Tuğçe Uzun Kocamış
Z04
   Emre aksu
   Ömine Kırbaşlı
Z05
   Zaid Alrawadien
   Cansu Şarkaya İçellioğlu
</t>
  </si>
  <si>
    <t xml:space="preserve">Z03
   Büşra Ergin
   Serdar Kuzu
Z04
   Serap Özdemir Güzel
   Özge İzdeş Terkoğlu
Z07
   Aynur Önür
   Ömine Kırbaşlı
</t>
  </si>
  <si>
    <t xml:space="preserve">Z03
   Hatice Öztürk
   Mehmet hakan Sağlam
Z04
   Melike Torun
   Tuğçe Uzun Kocamış
LAB1
   Nilay Baş
   Mustafa Gürkan Güler
LAB4
   Muhammet Kekeç
   Nuran Çakır yıldız
</t>
  </si>
  <si>
    <t xml:space="preserve">A107
   Melike Torun
   Fettah Turan
</t>
  </si>
  <si>
    <t xml:space="preserve">A102
   Serap Özdemir Güzel
   Ali Kuzu
A107
   Nilay Baş
   Selma Öner
</t>
  </si>
  <si>
    <t xml:space="preserve">Z03
   Emre aksu
   Serap Özdemir Güzel
LAB1
   Nilay Baş
   Tuğçe Uzun Kocamış
LAB3
   Tevfik İzgi
   Selma Öner
LAB4
   Zaid Alrawadien
   Fettah Turan
</t>
  </si>
  <si>
    <t xml:space="preserve">Z03
   Emre aksu
   Tevfik İzgi
Z04
   Melike Torun
   Seyit Ali Eren
Z05
   Zehra Binnur Avunduk
   Mustafa Gürkan Güler
Z06
   Ali Kuzu
   Nuran Çakır yıldız
</t>
  </si>
  <si>
    <t xml:space="preserve">Z03
   Aynur Önür
   Tevfik İzgi
Z04
   Hatice Öztürk
   Mehmet hakan Sağlam
Z05
   Melike Torun
   Tolga akagün
LAB1
   Özge İzdeş Terkoğlu
   Ömine Kırbaşlı
LAB4
   Zaid Alrawadien
   Nilay Baş
</t>
  </si>
  <si>
    <t xml:space="preserve">A107
   Mehmet hakan Sağlam
   Cansu Şarkaya İçellioğlu
</t>
  </si>
  <si>
    <t xml:space="preserve">Z03
   Zehra Binnur Avunduk
   Ali Kuzu
Z04
   Seyit Ali Eren
   Büşra Ergin
</t>
  </si>
  <si>
    <t xml:space="preserve">Z03
   Aynur Önür
   Nilay Baş
Z04
   Serap Özdemir Güzel
   Selma Öner
</t>
  </si>
  <si>
    <t xml:space="preserve">Z04
   Hatice Öztürk
   Mustafa Gürkan Güler
A107
   Serap Özdemir Güzel
   Serdar Kuzu
</t>
  </si>
  <si>
    <t xml:space="preserve">Z03
   Zaid Alrawadien
   Nilay Baş
</t>
  </si>
  <si>
    <t xml:space="preserve">Z03
   Tevfik İzgi
   Serap Özdemir Güzel
Z07
   Melike Torun
   Büşra Ergin
A102
   Zehra Binnur Avunduk
   Mustafa Gürkan Güler
A107
   Muhammet Kekeç
   Ali Kuzu
</t>
  </si>
  <si>
    <t xml:space="preserve">A107
   Mustafa Gürkan Güler
   Güner Çöl
</t>
  </si>
  <si>
    <t xml:space="preserve">A107
   Aynur Önür
   Ali Kuzu
LAB1
   Zehra Binnur Avunduk
   Tolga akagün
LAB2
   Hatice Öztürk
   Cansu Şarkaya İçellioğlu
LAB4
   Zaid Alrawadien
   Selma Öner
</t>
  </si>
  <si>
    <t xml:space="preserve">Z03
   Hatice Öztürk
   Fettah Turan
Z04
   Mehmet hakan Sağlam
   Tuğçe Uzun Kocamış
Z05
   Tevfik İzgi
   Seyit Ali Eren
Z06
   Muhammet Kekeç
   Özge İzdeş Terkoğlu
Z07
   Emre aksu
   Zaid Alrawadien
A102
   Serap Özdemir Güzel
   Ömine Kırbaşlı
A105
   Tolga akagün
   Serdar Kuzu
</t>
  </si>
  <si>
    <t xml:space="preserve">Z03
   Zaid Alrawadien
   Mustafa Gürkan Güler
Z04
   Melike Torun
   Serap Özdemir Güzel
Z05
   Nilay Baş
   Mehmet hakan Sağlam
Z06
   Muhammet Kekeç
   Tuğçe Uzun Kocamış
Z07
   Emre aksu
   Ömine Kırbaşlı
A102
   Özge İzdeş Terkoğlu
   Selma Öner
A106
   Güner Çöl
   Cansu Şarkaya İçellioğlu
</t>
  </si>
  <si>
    <t xml:space="preserve">Z03
   Mustafa Gürkan Güler
   Güner Çöl
Z04
   Serap Özdemir Güzel
   Muhammet Kekeç
Z05
   Hatice Öztürk
   Selma Öner
Z06
   Özge İzdeş Terkoğlu
   Serdar Kuzu
Z07
   Cansu Şarkaya İçellioğlu
   Tuğçe Uzun Kocamış
A102
   Tevfik İzgi
   Ali Kuzu
LAB2
   Aynur Önür
   Büşra Ergin
LAB3
   Tolga akagün
   Fettah Turan
LAB4
   Mehmet hakan Sağlam
   Ömine Kırbaşlı
</t>
  </si>
  <si>
    <t xml:space="preserve">Z03
   Mehmet hakan Sağlam
   Ömine Kırbaşlı
Z04
   Zehra Binnur Avunduk
   Serap Özdemir Güzel
Z05
   Seyit Ali Eren
   Büşra Ergin
Z06
   Zaid Alrawadien
   Muhammet Kekeç
Z07
   Nilay Baş
   Güner Çöl
A102
   Mustafa Gürkan Güler
   Ali Kuzu
A103
   Emre aksu
   Hatice Öztürk
A104
   Tolga akagün
   Fettah Turan
A105
   Melike Torun
   Selma Öner
A106
   Tevfik İzgi
   Nuran Çakır yıldız
A107
   Aynur Önür
   Özge İzdeş Terkoğlu
</t>
  </si>
  <si>
    <t xml:space="preserve">Z03
   Tolga akagün
   Serdar Kuzu
Z04
   Nuran Çakır yıldız
   Cansu Şarkaya İçellioğlu
</t>
  </si>
  <si>
    <t xml:space="preserve">Z03
   Serap Özdemir Güzel
   Muhammet Kekeç
Z04
   Seyit Ali Eren
   Nuran Çakır yıldız
Z05
   Zehra Binnur Avunduk
   Fettah Turan
Z06
   Tevfik İzgi
   Güner Çöl
Z07
   Nilay Baş
   Tuğçe Uzun Kocamış
LAB1
   Emre aksu
   Büşra Ergin
LAB2
   Hatice Öztürk
   Ali Kuzu
LAB4
   Serdar Kuzu
   Cansu Şarkaya İçellioğlu
</t>
  </si>
  <si>
    <t xml:space="preserve">Z07
   Zaid Alrawadien
   Özge İzdeş Terkoğlu
A105
   Seyit Ali Eren
   Ömine Kırbaşlı
LAB1
   Zehra Binnur Avunduk
   Büşra Ergin
LAB4
   Nilay Baş
   Fettah Turan
</t>
  </si>
  <si>
    <t xml:space="preserve">Z03
   Tolga akagün
   Ömine Kırbaşlı
Z04
   Güner Çöl
   Ali Kuzu
Z05
   Melike Torun
   Selma Öner
Z06
   Nuran Çakır yıldız
   Cansu Şarkaya İçellioğlu
Z07
   Aynur Önür
   Mehmet hakan Sağlam
</t>
  </si>
  <si>
    <t xml:space="preserve">Z03
   Tevfik İzgi
   Güner Çöl
Z05
   Melike Torun
   Nilay Baş
Z06
   Hatice Öztürk
   Serdar Kuzu
</t>
  </si>
  <si>
    <t xml:space="preserve">Z03
   Melike Torun
   Zehra Binnur Avunduk
Z04
   Zaid Alrawadien
   Büşra Ergin
Z05
   Hatice Öztürk
   Serdar Kuzu
Z06
   Nilay Baş
   Mustafa Gürkan Güler
Z07
   Seyit Ali Eren
   Güner Çöl
</t>
  </si>
  <si>
    <t xml:space="preserve">Z03
   Melike Torun
   Aynur Önür
Z04
   Emre aksu
   Zehra Binnur Avunduk
Z05
   Tolga akagün
   Güner Çöl
Z06
   Zaid Alrawadien
   Selma Öner
Z07
   Hatice Öztürk
   Nuran Çakır yıldız
</t>
  </si>
  <si>
    <t xml:space="preserve">Z03
   Melike Torun
   Zehra Binnur Avunduk
Z04
   Serdar Kuzu
   Tuğçe Uzun Kocamış
Z05
   Emre aksu
   Selma Öner
Z06
   Seyit Ali Eren
   Büşra Ergin
Z07
   Aynur Önür
   Mustafa Gürkan Güler
A102
   Muhammet Kekeç
   Ömine Kırbaşlı
A104
   Nilay Baş
   Serap Özdemir Güzel
A105
   Fettah Turan
   Güner Çöl
A106
   Tevfik İzgi
   Nuran Çakır yıldız
</t>
  </si>
  <si>
    <t xml:space="preserve">Z03
   Tolga akagün
   Tevfik İzgi
Z04
   Aynur Önür
   Serdar Kuzu
Z06
   Seyit Ali Eren
   Selma Öner
Z07
   Zehra Binnur Avunduk
   Tuğçe Uzun Kocamış
</t>
  </si>
  <si>
    <t xml:space="preserve">Z03
   Tevfik İzgi
   Nuran Çakır yıldız
Z04
   Emre aksu
   Fettah Turan
Z05
   Zehra Binnur Avunduk
   Cansu Şarkaya İçellioğlu
Z07
   Mustafa Gürkan Güler
   Tuğçe Uzun Kocamış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</si>
</sst>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charset val="162"/>
      <scheme val="minor"/>
    </font>
    <font>
      <b/>
      <sz val="11"/>
      <color theme="1"/>
      <name val="Calibri"/>
      <family val="2"/>
      <charset val="162"/>
      <scheme val="minor"/>
    </font>
    <font>
      <b/>
      <i/>
      <sz val="11"/>
      <color theme="1"/>
      <name val="Calibri"/>
      <family val="2"/>
      <charset val="162"/>
      <scheme val="minor"/>
    </font>
    <font>
      <i/>
      <sz val="11"/>
      <color theme="1"/>
      <name val="Calibri"/>
      <family val="2"/>
      <charset val="162"/>
      <scheme val="minor"/>
    </font>
    <font>
      <sz val="9"/>
      <name val="Times New Roman"/>
      <family val="1"/>
      <charset val="162"/>
    </font>
    <font>
      <sz val="10"/>
      <name val="Arial"/>
      <family val="2"/>
      <charset val="162"/>
    </font>
    <font>
      <sz val="11"/>
      <color theme="1"/>
      <name val="Calibri"/>
      <family val="2"/>
      <scheme val="minor"/>
    </font>
    <font>
      <sz val="11"/>
      <name val="Calibri"/>
      <family val="2"/>
      <charset val="162"/>
      <scheme val="minor"/>
    </font>
    <font>
      <sz val="9"/>
      <color indexed="81"/>
      <name val="Tahoma"/>
      <family val="2"/>
      <charset val="162"/>
    </font>
    <font>
      <b/>
      <sz val="9"/>
      <color indexed="81"/>
      <name val="Tahoma"/>
      <family val="2"/>
      <charset val="162"/>
    </font>
    <font>
      <sz val="11"/>
      <color theme="1"/>
      <name val="Calibri"/>
      <family val="2"/>
      <charset val="162"/>
      <scheme val="minor"/>
    </font>
    <font>
      <sz val="11"/>
      <color rgb="FFFF0000"/>
      <name val="Calibri"/>
      <family val="2"/>
      <charset val="162"/>
      <scheme val="minor"/>
    </font>
    <font>
      <sz val="11"/>
      <color theme="1"/>
      <name val="Arial"/>
      <family val="2"/>
      <charset val="162"/>
    </font>
    <font>
      <sz val="11"/>
      <name val="Arial"/>
      <family val="2"/>
      <charset val="162"/>
    </font>
    <font>
      <sz val="10"/>
      <color theme="1"/>
      <name val="Times New Roman"/>
      <family val="1"/>
      <charset val="162"/>
    </font>
    <font>
      <sz val="10"/>
      <color theme="1"/>
      <name val="Times New Roman"/>
      <family val="1"/>
    </font>
    <font>
      <sz val="11"/>
      <color rgb="FFFF0000"/>
      <name val="Times New Roman"/>
      <family val="1"/>
      <charset val="162"/>
    </font>
    <font>
      <sz val="12"/>
      <name val="Calibri"/>
      <family val="2"/>
      <charset val="162"/>
      <scheme val="minor"/>
    </font>
    <font>
      <sz val="10"/>
      <color theme="1"/>
      <name val="Arial"/>
      <family val="2"/>
      <charset val="162"/>
    </font>
    <font>
      <u/>
      <sz val="14.3"/>
      <color theme="10"/>
      <name val="Calibri"/>
      <family val="2"/>
      <charset val="162"/>
    </font>
    <font>
      <sz val="33"/>
      <color theme="1"/>
      <name val="Calibri"/>
      <family val="2"/>
      <charset val="162"/>
      <scheme val="minor"/>
    </font>
    <font>
      <b/>
      <sz val="22"/>
      <color theme="1"/>
      <name val="Calibri"/>
      <family val="2"/>
      <charset val="162"/>
      <scheme val="minor"/>
    </font>
    <font>
      <sz val="11"/>
      <color indexed="81"/>
      <name val="Tahoma"/>
      <family val="2"/>
      <charset val="162"/>
    </font>
    <font>
      <b/>
      <sz val="11"/>
      <color indexed="81"/>
      <name val="Tahoma"/>
      <family val="2"/>
      <charset val="162"/>
    </font>
  </fonts>
  <fills count="2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rgb="FF00B0F0"/>
        <bgColor theme="4" tint="0.79998168889431442"/>
      </patternFill>
    </fill>
    <fill>
      <patternFill patternType="solid">
        <fgColor rgb="FF00B0F0"/>
        <bgColor indexed="64"/>
      </patternFill>
    </fill>
    <fill>
      <patternFill patternType="solid">
        <fgColor rgb="FF00B050"/>
        <bgColor theme="4" tint="0.79998168889431442"/>
      </patternFill>
    </fill>
    <fill>
      <patternFill patternType="solid">
        <fgColor theme="6" tint="-0.249977111117893"/>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bgColor indexed="64"/>
      </patternFill>
    </fill>
    <fill>
      <patternFill patternType="solid">
        <fgColor rgb="FFFFC000"/>
        <bgColor theme="4" tint="0.79998168889431442"/>
      </patternFill>
    </fill>
    <fill>
      <patternFill patternType="solid">
        <fgColor rgb="FFFFC000"/>
        <bgColor indexed="64"/>
      </patternFill>
    </fill>
    <fill>
      <patternFill patternType="solid">
        <fgColor theme="8"/>
        <bgColor theme="4" tint="0.79998168889431442"/>
      </patternFill>
    </fill>
    <fill>
      <patternFill patternType="solid">
        <fgColor theme="8"/>
        <bgColor indexed="64"/>
      </patternFill>
    </fill>
    <fill>
      <patternFill patternType="solid">
        <fgColor rgb="FFFFFF00"/>
        <bgColor indexed="64"/>
      </patternFill>
    </fill>
    <fill>
      <patternFill patternType="solid">
        <fgColor theme="0" tint="-4.9989318521683403E-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2"/>
      </left>
      <right style="thin">
        <color indexed="62"/>
      </right>
      <top style="thin">
        <color indexed="62"/>
      </top>
      <bottom style="thin">
        <color indexed="62"/>
      </bottom>
      <diagonal/>
    </border>
    <border>
      <left style="thin">
        <color indexed="62"/>
      </left>
      <right style="thin">
        <color indexed="62"/>
      </right>
      <top style="thin">
        <color theme="4" tint="0.39997558519241921"/>
      </top>
      <bottom style="thin">
        <color indexed="62"/>
      </bottom>
      <diagonal/>
    </border>
    <border>
      <left/>
      <right/>
      <top style="thin">
        <color theme="4" tint="0.39997558519241921"/>
      </top>
      <bottom style="thin">
        <color theme="4" tint="0.39997558519241921"/>
      </bottom>
      <diagonal/>
    </border>
    <border>
      <left style="thin">
        <color theme="4" tint="-0.24994659260841701"/>
      </left>
      <right style="thin">
        <color theme="4" tint="-0.24994659260841701"/>
      </right>
      <top/>
      <bottom style="thin">
        <color theme="4" tint="-0.24994659260841701"/>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thin">
        <color theme="4" tint="0.39997558519241921"/>
      </bottom>
      <diagonal/>
    </border>
    <border>
      <left style="thin">
        <color indexed="64"/>
      </left>
      <right/>
      <top/>
      <bottom/>
      <diagonal/>
    </border>
    <border>
      <left/>
      <right/>
      <top/>
      <bottom style="thin">
        <color indexed="64"/>
      </bottom>
      <diagonal/>
    </border>
    <border>
      <left style="thin">
        <color indexed="62"/>
      </left>
      <right style="thin">
        <color indexed="62"/>
      </right>
      <top/>
      <bottom style="thin">
        <color indexed="6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s>
  <cellStyleXfs count="4">
    <xf numFmtId="0" fontId="0" fillId="0" borderId="0"/>
    <xf numFmtId="0" fontId="5" fillId="0" borderId="0"/>
    <xf numFmtId="0" fontId="6" fillId="0" borderId="0"/>
    <xf numFmtId="0" fontId="19" fillId="0" borderId="0" applyNumberFormat="0" applyFill="0" applyBorder="0" applyAlignment="0" applyProtection="0">
      <alignment vertical="top"/>
      <protection locked="0"/>
    </xf>
  </cellStyleXfs>
  <cellXfs count="149">
    <xf numFmtId="0" fontId="0" fillId="0" borderId="0" xfId="0"/>
    <xf numFmtId="0" fontId="1" fillId="4" borderId="1" xfId="0" applyFont="1" applyFill="1" applyBorder="1" applyAlignment="1">
      <alignment horizontal="center" vertical="center" wrapText="1"/>
    </xf>
    <xf numFmtId="0" fontId="0" fillId="0" borderId="0" xfId="0" applyAlignment="1">
      <alignment horizontal="center" vertical="center"/>
    </xf>
    <xf numFmtId="0" fontId="0" fillId="0" borderId="0" xfId="0" applyAlignment="1">
      <alignment horizontal="center"/>
    </xf>
    <xf numFmtId="0" fontId="0" fillId="0" borderId="1" xfId="0" applyBorder="1" applyAlignment="1">
      <alignment horizontal="center"/>
    </xf>
    <xf numFmtId="0" fontId="0" fillId="0" borderId="1" xfId="0" applyBorder="1" applyAlignment="1">
      <alignment horizontal="center" vertical="center"/>
    </xf>
    <xf numFmtId="0" fontId="2" fillId="4" borderId="1" xfId="0" applyFont="1" applyFill="1" applyBorder="1" applyAlignment="1">
      <alignment horizontal="center" vertical="center"/>
    </xf>
    <xf numFmtId="0" fontId="2" fillId="4" borderId="4" xfId="0" applyFont="1" applyFill="1" applyBorder="1" applyAlignment="1">
      <alignment horizontal="center" vertical="center" wrapText="1"/>
    </xf>
    <xf numFmtId="0" fontId="0" fillId="4" borderId="1" xfId="0" applyFill="1" applyBorder="1" applyAlignment="1">
      <alignment horizontal="center" vertical="center"/>
    </xf>
    <xf numFmtId="0" fontId="3" fillId="0" borderId="0" xfId="0" applyFont="1"/>
    <xf numFmtId="0" fontId="2" fillId="0" borderId="0" xfId="0" applyFont="1" applyAlignment="1">
      <alignment horizontal="center" vertical="center"/>
    </xf>
    <xf numFmtId="0" fontId="0" fillId="0" borderId="1" xfId="0" applyBorder="1"/>
    <xf numFmtId="0" fontId="2" fillId="3" borderId="1" xfId="0" applyFont="1" applyFill="1" applyBorder="1" applyAlignment="1">
      <alignment horizontal="center"/>
    </xf>
    <xf numFmtId="0" fontId="1" fillId="2" borderId="1" xfId="0" applyFont="1" applyFill="1" applyBorder="1" applyAlignment="1">
      <alignment horizontal="center" vertical="center" wrapText="1"/>
    </xf>
    <xf numFmtId="0" fontId="1" fillId="0" borderId="0" xfId="0" applyFont="1" applyAlignment="1">
      <alignment horizontal="center" vertical="center"/>
    </xf>
    <xf numFmtId="0" fontId="2" fillId="3" borderId="1" xfId="0" applyFont="1" applyFill="1" applyBorder="1" applyAlignment="1">
      <alignment horizontal="center" vertical="center"/>
    </xf>
    <xf numFmtId="0" fontId="0" fillId="3" borderId="2" xfId="0" applyFill="1" applyBorder="1" applyAlignment="1">
      <alignment horizontal="center" wrapText="1"/>
    </xf>
    <xf numFmtId="0" fontId="0" fillId="6" borderId="1" xfId="0" applyFill="1" applyBorder="1" applyAlignment="1">
      <alignment horizontal="center" vertical="center" wrapText="1"/>
    </xf>
    <xf numFmtId="0" fontId="0" fillId="3" borderId="1" xfId="0" applyFill="1" applyBorder="1" applyAlignment="1">
      <alignment vertical="center" wrapText="1"/>
    </xf>
    <xf numFmtId="0" fontId="0" fillId="5" borderId="0" xfId="0" applyFill="1" applyAlignment="1">
      <alignment vertical="center"/>
    </xf>
    <xf numFmtId="0" fontId="4" fillId="0" borderId="1" xfId="0" applyFont="1" applyBorder="1" applyAlignment="1">
      <alignment horizontal="left" vertical="center" wrapText="1"/>
    </xf>
    <xf numFmtId="0" fontId="4" fillId="0" borderId="1" xfId="0" applyFont="1" applyBorder="1" applyAlignment="1">
      <alignment horizontal="left" vertical="center"/>
    </xf>
    <xf numFmtId="0" fontId="0" fillId="3" borderId="1" xfId="0" applyFill="1" applyBorder="1" applyAlignment="1">
      <alignment horizontal="center" wrapText="1"/>
    </xf>
    <xf numFmtId="0" fontId="0" fillId="6" borderId="1" xfId="0" applyFill="1" applyBorder="1" applyAlignment="1">
      <alignment horizontal="center" wrapText="1"/>
    </xf>
    <xf numFmtId="0" fontId="0" fillId="4" borderId="1" xfId="0" applyFill="1" applyBorder="1" applyAlignment="1">
      <alignment horizontal="center"/>
    </xf>
    <xf numFmtId="0" fontId="0" fillId="0" borderId="0" xfId="0" applyAlignment="1">
      <alignment wrapText="1"/>
    </xf>
    <xf numFmtId="0" fontId="0" fillId="4" borderId="1" xfId="0" applyFill="1" applyBorder="1" applyAlignment="1">
      <alignment horizontal="center" wrapText="1"/>
    </xf>
    <xf numFmtId="0" fontId="0" fillId="4" borderId="1" xfId="0" applyFill="1" applyBorder="1" applyAlignment="1">
      <alignment horizontal="center" vertical="center" wrapText="1"/>
    </xf>
    <xf numFmtId="0" fontId="0" fillId="0" borderId="0" xfId="0" applyAlignment="1">
      <alignment vertical="center" wrapText="1"/>
    </xf>
    <xf numFmtId="0" fontId="2" fillId="4" borderId="4" xfId="0" applyFont="1" applyFill="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vertical="center"/>
    </xf>
    <xf numFmtId="0" fontId="1" fillId="2" borderId="1" xfId="0" applyFont="1" applyFill="1" applyBorder="1" applyAlignment="1">
      <alignment horizontal="center" vertical="center" wrapText="1"/>
    </xf>
    <xf numFmtId="0" fontId="0" fillId="0" borderId="0" xfId="0" applyFill="1" applyBorder="1"/>
    <xf numFmtId="0" fontId="1" fillId="0" borderId="0" xfId="0" applyFont="1" applyFill="1" applyBorder="1" applyAlignment="1">
      <alignment wrapText="1"/>
    </xf>
    <xf numFmtId="0" fontId="2" fillId="0" borderId="0" xfId="0" applyFont="1" applyFill="1" applyBorder="1" applyAlignment="1">
      <alignment horizontal="center"/>
    </xf>
    <xf numFmtId="0" fontId="0" fillId="0" borderId="0" xfId="0" applyFill="1" applyBorder="1" applyAlignment="1">
      <alignment horizontal="center"/>
    </xf>
    <xf numFmtId="0" fontId="0" fillId="3" borderId="1" xfId="0" applyFill="1" applyBorder="1" applyAlignment="1">
      <alignment horizontal="center" vertical="center" wrapText="1"/>
    </xf>
    <xf numFmtId="0" fontId="0" fillId="0" borderId="0" xfId="0" applyAlignment="1">
      <alignment horizontal="center" vertical="center" wrapText="1"/>
    </xf>
    <xf numFmtId="0" fontId="1" fillId="2" borderId="0" xfId="0" applyFont="1" applyFill="1" applyBorder="1" applyAlignment="1">
      <alignment horizontal="center" vertical="center" wrapText="1"/>
    </xf>
    <xf numFmtId="0" fontId="2" fillId="4" borderId="0" xfId="0" applyFont="1" applyFill="1" applyBorder="1" applyAlignment="1">
      <alignment horizontal="center"/>
    </xf>
    <xf numFmtId="0" fontId="2" fillId="4" borderId="3" xfId="0" applyFont="1" applyFill="1" applyBorder="1" applyAlignment="1">
      <alignment horizontal="center"/>
    </xf>
    <xf numFmtId="0" fontId="0" fillId="0" borderId="1" xfId="0" applyFill="1" applyBorder="1" applyAlignment="1">
      <alignment horizontal="center"/>
    </xf>
    <xf numFmtId="0" fontId="12" fillId="7" borderId="9" xfId="0" applyFont="1" applyFill="1" applyBorder="1" applyAlignment="1">
      <alignment horizontal="left" vertical="center" wrapText="1"/>
    </xf>
    <xf numFmtId="0" fontId="0" fillId="8" borderId="1" xfId="0" applyFont="1" applyFill="1" applyBorder="1" applyAlignment="1">
      <alignment horizontal="center"/>
    </xf>
    <xf numFmtId="0" fontId="12" fillId="8" borderId="9" xfId="0" applyFont="1" applyFill="1" applyBorder="1" applyAlignment="1">
      <alignment horizontal="left" vertical="center" wrapText="1"/>
    </xf>
    <xf numFmtId="0" fontId="12" fillId="7" borderId="10" xfId="0" applyFont="1" applyFill="1" applyBorder="1" applyAlignment="1">
      <alignment horizontal="left" vertical="center" wrapText="1"/>
    </xf>
    <xf numFmtId="0" fontId="0" fillId="8" borderId="6" xfId="0" applyFont="1" applyFill="1" applyBorder="1" applyAlignment="1">
      <alignment horizontal="center"/>
    </xf>
    <xf numFmtId="0" fontId="13" fillId="7" borderId="1" xfId="0" applyFont="1" applyFill="1" applyBorder="1" applyAlignment="1">
      <alignment horizontal="left" vertical="center" wrapText="1"/>
    </xf>
    <xf numFmtId="0" fontId="7" fillId="9" borderId="11" xfId="0" applyFont="1" applyFill="1" applyBorder="1"/>
    <xf numFmtId="0" fontId="7" fillId="10" borderId="1" xfId="0" applyFont="1" applyFill="1" applyBorder="1" applyAlignment="1">
      <alignment horizontal="center"/>
    </xf>
    <xf numFmtId="0" fontId="7" fillId="11" borderId="11" xfId="0" applyFont="1" applyFill="1" applyBorder="1"/>
    <xf numFmtId="0" fontId="14" fillId="12" borderId="1" xfId="1" applyFont="1" applyFill="1" applyBorder="1" applyAlignment="1">
      <alignment horizontal="left" vertical="center" wrapText="1"/>
    </xf>
    <xf numFmtId="0" fontId="10" fillId="13" borderId="1" xfId="0" applyFont="1" applyFill="1" applyBorder="1" applyAlignment="1">
      <alignment horizontal="center"/>
    </xf>
    <xf numFmtId="0" fontId="15" fillId="12" borderId="1" xfId="0" applyFont="1" applyFill="1" applyBorder="1" applyAlignment="1">
      <alignment horizontal="left" vertical="center"/>
    </xf>
    <xf numFmtId="0" fontId="0" fillId="13" borderId="1" xfId="0" applyFont="1" applyFill="1" applyBorder="1" applyAlignment="1">
      <alignment horizontal="center"/>
    </xf>
    <xf numFmtId="0" fontId="16" fillId="14" borderId="11" xfId="0" applyFont="1" applyFill="1" applyBorder="1"/>
    <xf numFmtId="0" fontId="11" fillId="15" borderId="1" xfId="0" applyFont="1" applyFill="1" applyBorder="1" applyAlignment="1">
      <alignment horizontal="center"/>
    </xf>
    <xf numFmtId="0" fontId="16" fillId="15" borderId="11" xfId="0" applyFont="1" applyFill="1" applyBorder="1"/>
    <xf numFmtId="0" fontId="0" fillId="16" borderId="11" xfId="0" applyFont="1" applyFill="1" applyBorder="1"/>
    <xf numFmtId="0" fontId="0" fillId="17" borderId="11" xfId="0" applyFont="1" applyFill="1" applyBorder="1"/>
    <xf numFmtId="0" fontId="0" fillId="17" borderId="11" xfId="0" applyFont="1" applyFill="1" applyBorder="1" applyAlignment="1">
      <alignment wrapText="1"/>
    </xf>
    <xf numFmtId="0" fontId="17" fillId="18" borderId="12" xfId="0" applyFont="1" applyFill="1" applyBorder="1" applyAlignment="1">
      <alignment horizontal="left"/>
    </xf>
    <xf numFmtId="0" fontId="7" fillId="18" borderId="1" xfId="0" applyFont="1" applyFill="1" applyBorder="1" applyAlignment="1">
      <alignment horizontal="center"/>
    </xf>
    <xf numFmtId="0" fontId="17" fillId="18" borderId="13" xfId="0" applyFont="1" applyFill="1" applyBorder="1" applyAlignment="1">
      <alignment horizontal="left" vertical="center"/>
    </xf>
    <xf numFmtId="0" fontId="17" fillId="18" borderId="13" xfId="0" applyFont="1" applyFill="1" applyBorder="1" applyAlignment="1">
      <alignment horizontal="left"/>
    </xf>
    <xf numFmtId="0" fontId="17" fillId="18" borderId="13" xfId="0" applyFont="1" applyFill="1" applyBorder="1" applyAlignment="1"/>
    <xf numFmtId="0" fontId="17" fillId="18" borderId="14" xfId="0" applyFont="1" applyFill="1" applyBorder="1" applyAlignment="1">
      <alignment horizontal="left"/>
    </xf>
    <xf numFmtId="0" fontId="0" fillId="18" borderId="1" xfId="0" applyFill="1" applyBorder="1" applyAlignment="1">
      <alignment horizontal="center"/>
    </xf>
    <xf numFmtId="0" fontId="17" fillId="18" borderId="15" xfId="0" applyFont="1" applyFill="1" applyBorder="1" applyAlignment="1"/>
    <xf numFmtId="0" fontId="17" fillId="18" borderId="14" xfId="0" applyFont="1" applyFill="1" applyBorder="1" applyAlignment="1"/>
    <xf numFmtId="0" fontId="17" fillId="18" borderId="1" xfId="0" applyFont="1" applyFill="1" applyBorder="1" applyAlignment="1">
      <alignment horizontal="left"/>
    </xf>
    <xf numFmtId="0" fontId="17" fillId="18" borderId="1" xfId="0" applyFont="1" applyFill="1" applyBorder="1" applyAlignment="1"/>
    <xf numFmtId="0" fontId="5" fillId="14" borderId="1" xfId="0" applyFont="1" applyFill="1" applyBorder="1" applyAlignment="1">
      <alignment horizontal="left" vertical="center" wrapText="1"/>
    </xf>
    <xf numFmtId="0" fontId="7" fillId="15" borderId="1" xfId="0" applyFont="1" applyFill="1" applyBorder="1" applyAlignment="1">
      <alignment horizontal="center"/>
    </xf>
    <xf numFmtId="0" fontId="5" fillId="15" borderId="1" xfId="0" applyFont="1" applyFill="1" applyBorder="1" applyAlignment="1">
      <alignment horizontal="left" vertical="center" wrapText="1"/>
    </xf>
    <xf numFmtId="0" fontId="18" fillId="14" borderId="1" xfId="0" applyFont="1" applyFill="1" applyBorder="1" applyAlignment="1">
      <alignment horizontal="left" vertical="center" wrapText="1"/>
    </xf>
    <xf numFmtId="0" fontId="0" fillId="15" borderId="1" xfId="0" applyFill="1" applyBorder="1" applyAlignment="1">
      <alignment horizontal="center"/>
    </xf>
    <xf numFmtId="0" fontId="18" fillId="15" borderId="1" xfId="0" applyFont="1" applyFill="1" applyBorder="1" applyAlignment="1">
      <alignment horizontal="left" vertical="center" wrapText="1"/>
    </xf>
    <xf numFmtId="0" fontId="18" fillId="14" borderId="16" xfId="0" applyFont="1" applyFill="1" applyBorder="1" applyAlignment="1">
      <alignment horizontal="left" vertical="center" wrapText="1"/>
    </xf>
    <xf numFmtId="0" fontId="18" fillId="15" borderId="1" xfId="3" applyFont="1" applyFill="1" applyBorder="1" applyAlignment="1" applyProtection="1">
      <alignment horizontal="left" vertical="center" wrapText="1"/>
    </xf>
    <xf numFmtId="0" fontId="18" fillId="14" borderId="1" xfId="0" applyFont="1" applyFill="1" applyBorder="1" applyAlignment="1">
      <alignment horizontal="left" vertical="center"/>
    </xf>
    <xf numFmtId="0" fontId="18" fillId="15" borderId="16" xfId="0" applyFont="1" applyFill="1" applyBorder="1" applyAlignment="1">
      <alignment horizontal="left" vertical="center"/>
    </xf>
    <xf numFmtId="0" fontId="18" fillId="15" borderId="1" xfId="0" applyFont="1" applyFill="1" applyBorder="1" applyAlignment="1">
      <alignment horizontal="left" vertical="center"/>
    </xf>
    <xf numFmtId="0" fontId="18" fillId="15" borderId="16" xfId="0" applyFont="1" applyFill="1" applyBorder="1" applyAlignment="1">
      <alignment horizontal="left" vertical="center" wrapText="1"/>
    </xf>
    <xf numFmtId="0" fontId="3" fillId="19" borderId="1" xfId="0" applyFont="1" applyFill="1" applyBorder="1" applyAlignment="1">
      <alignment horizontal="center"/>
    </xf>
    <xf numFmtId="0" fontId="0" fillId="19" borderId="1" xfId="0" applyFill="1" applyBorder="1" applyAlignment="1">
      <alignment horizontal="center" vertical="center"/>
    </xf>
    <xf numFmtId="0" fontId="0" fillId="19" borderId="7" xfId="0" applyFill="1" applyBorder="1" applyAlignment="1">
      <alignment horizontal="center" vertical="center"/>
    </xf>
    <xf numFmtId="0" fontId="0" fillId="19" borderId="8" xfId="0" applyFill="1" applyBorder="1" applyAlignment="1">
      <alignment horizontal="center" vertical="center"/>
    </xf>
    <xf numFmtId="0" fontId="1" fillId="19" borderId="1" xfId="0" applyFont="1" applyFill="1" applyBorder="1" applyAlignment="1">
      <alignment horizontal="center"/>
    </xf>
    <xf numFmtId="0" fontId="0" fillId="19" borderId="0" xfId="0" applyFill="1" applyAlignment="1">
      <alignment horizontal="center"/>
    </xf>
    <xf numFmtId="0" fontId="0" fillId="19" borderId="1" xfId="0" applyFill="1" applyBorder="1" applyAlignment="1">
      <alignment horizontal="center"/>
    </xf>
    <xf numFmtId="0" fontId="2" fillId="19" borderId="0" xfId="0" applyFont="1" applyFill="1" applyAlignment="1">
      <alignment horizontal="center" vertical="center"/>
    </xf>
    <xf numFmtId="0" fontId="0" fillId="19" borderId="0" xfId="0" applyFill="1"/>
    <xf numFmtId="0" fontId="0" fillId="19" borderId="2" xfId="0" applyFill="1" applyBorder="1" applyAlignment="1">
      <alignment horizontal="center"/>
    </xf>
    <xf numFmtId="0" fontId="0" fillId="19" borderId="1" xfId="0" applyFill="1" applyBorder="1"/>
    <xf numFmtId="0" fontId="1" fillId="2" borderId="6" xfId="0" applyFont="1" applyFill="1" applyBorder="1" applyAlignment="1">
      <alignment horizontal="center" vertical="center"/>
    </xf>
    <xf numFmtId="0" fontId="0" fillId="0" borderId="0" xfId="0" applyBorder="1" applyAlignment="1">
      <alignment horizontal="center"/>
    </xf>
    <xf numFmtId="0" fontId="0" fillId="0" borderId="1" xfId="0" applyBorder="1" applyAlignment="1">
      <alignment horizontal="center"/>
    </xf>
    <xf numFmtId="0" fontId="0" fillId="0" borderId="2" xfId="0" applyBorder="1"/>
    <xf numFmtId="0" fontId="0" fillId="0" borderId="1" xfId="0" applyBorder="1" applyAlignment="1">
      <alignment horizontal="center"/>
    </xf>
    <xf numFmtId="0" fontId="2" fillId="4" borderId="6" xfId="0" applyFont="1" applyFill="1" applyBorder="1" applyAlignment="1">
      <alignment horizontal="center" vertical="center"/>
    </xf>
    <xf numFmtId="0" fontId="0" fillId="0" borderId="1" xfId="0" applyBorder="1" applyAlignment="1">
      <alignment horizontal="center" vertical="center" wrapText="1"/>
    </xf>
    <xf numFmtId="0" fontId="1" fillId="6" borderId="1" xfId="0" applyFont="1" applyFill="1" applyBorder="1" applyAlignment="1">
      <alignment horizontal="center" wrapText="1"/>
    </xf>
    <xf numFmtId="0" fontId="21" fillId="6" borderId="1" xfId="0" applyFont="1" applyFill="1" applyBorder="1" applyAlignment="1">
      <alignment horizontal="center" wrapText="1"/>
    </xf>
    <xf numFmtId="0" fontId="0" fillId="0" borderId="1" xfId="0" applyBorder="1" applyAlignment="1">
      <alignment horizontal="right"/>
    </xf>
    <xf numFmtId="0" fontId="1" fillId="0" borderId="1" xfId="0" applyFont="1" applyBorder="1"/>
    <xf numFmtId="0" fontId="1" fillId="0" borderId="1" xfId="0" applyFont="1" applyBorder="1" applyAlignment="1">
      <alignment horizontal="center" vertical="center"/>
    </xf>
    <xf numFmtId="0" fontId="0" fillId="0" borderId="1" xfId="0" applyBorder="1" applyAlignment="1">
      <alignment horizontal="center"/>
    </xf>
    <xf numFmtId="0" fontId="2" fillId="3" borderId="4" xfId="0" applyFont="1" applyFill="1" applyBorder="1" applyAlignment="1">
      <alignment horizontal="center"/>
    </xf>
    <xf numFmtId="0" fontId="12" fillId="7" borderId="19" xfId="0" applyFont="1" applyFill="1" applyBorder="1" applyAlignment="1">
      <alignment horizontal="left" vertical="center" wrapText="1"/>
    </xf>
    <xf numFmtId="0" fontId="0" fillId="8" borderId="4" xfId="0" applyFont="1" applyFill="1" applyBorder="1" applyAlignment="1">
      <alignment horizontal="center"/>
    </xf>
    <xf numFmtId="0" fontId="0" fillId="0" borderId="4" xfId="0" applyBorder="1" applyAlignment="1">
      <alignment horizontal="center"/>
    </xf>
    <xf numFmtId="0" fontId="1" fillId="0" borderId="23" xfId="0" applyFont="1" applyBorder="1" applyAlignment="1">
      <alignment horizontal="center" vertical="center"/>
    </xf>
    <xf numFmtId="0" fontId="1" fillId="0" borderId="7" xfId="0" applyFont="1" applyBorder="1" applyAlignment="1">
      <alignment horizontal="center" vertical="center"/>
    </xf>
    <xf numFmtId="0" fontId="1" fillId="0" borderId="25" xfId="0" applyFont="1" applyBorder="1" applyAlignment="1">
      <alignment horizontal="center" vertical="center"/>
    </xf>
    <xf numFmtId="0" fontId="1" fillId="2" borderId="0" xfId="0" applyFont="1" applyFill="1" applyBorder="1" applyAlignment="1">
      <alignment horizontal="center" vertical="center" wrapText="1"/>
    </xf>
    <xf numFmtId="0" fontId="0" fillId="0" borderId="1" xfId="0" applyBorder="1" applyAlignment="1">
      <alignment horizontal="center"/>
    </xf>
    <xf numFmtId="0" fontId="0" fillId="0" borderId="1" xfId="0" applyBorder="1" applyAlignment="1">
      <alignment horizontal="center"/>
    </xf>
    <xf numFmtId="0" fontId="1" fillId="2" borderId="1" xfId="0" applyFont="1" applyFill="1" applyBorder="1" applyAlignment="1">
      <alignment horizontal="center" vertical="center" wrapText="1"/>
    </xf>
    <xf numFmtId="0" fontId="1" fillId="2" borderId="1" xfId="0" applyFont="1" applyFill="1" applyBorder="1" applyAlignment="1">
      <alignment vertical="center" wrapText="1"/>
    </xf>
    <xf numFmtId="0" fontId="0" fillId="0" borderId="1" xfId="0" applyBorder="1" applyAlignment="1">
      <alignment horizontal="left" vertical="top" wrapText="1"/>
    </xf>
    <xf numFmtId="0" fontId="0" fillId="0" borderId="1" xfId="0" applyBorder="1" applyAlignment="1">
      <alignment horizontal="left" vertical="top"/>
    </xf>
    <xf numFmtId="0" fontId="0" fillId="0" borderId="3" xfId="0" applyBorder="1"/>
    <xf numFmtId="0" fontId="1" fillId="0" borderId="27" xfId="0" applyFont="1" applyBorder="1"/>
    <xf numFmtId="0" fontId="1" fillId="0" borderId="28" xfId="0" applyFont="1" applyBorder="1"/>
    <xf numFmtId="0" fontId="1" fillId="0" borderId="29" xfId="0" applyFont="1" applyBorder="1"/>
    <xf numFmtId="0" fontId="1" fillId="0" borderId="30" xfId="0" applyFont="1" applyBorder="1"/>
    <xf numFmtId="0" fontId="1" fillId="0" borderId="26" xfId="0" applyFont="1" applyBorder="1"/>
    <xf numFmtId="0" fontId="1" fillId="0" borderId="31" xfId="0" applyFont="1" applyBorder="1"/>
    <xf numFmtId="0" fontId="1" fillId="0" borderId="1" xfId="0" applyFont="1" applyFill="1" applyBorder="1" applyAlignment="1">
      <alignment horizontal="center" vertical="center"/>
    </xf>
    <xf numFmtId="0" fontId="1" fillId="2" borderId="17" xfId="0" applyFont="1" applyFill="1" applyBorder="1" applyAlignment="1">
      <alignment horizontal="center" vertical="center" wrapText="1"/>
    </xf>
    <xf numFmtId="0" fontId="1" fillId="2" borderId="0" xfId="0" applyFont="1" applyFill="1" applyBorder="1" applyAlignment="1">
      <alignment horizontal="center" vertical="center" wrapText="1"/>
    </xf>
    <xf numFmtId="0" fontId="0" fillId="0" borderId="1" xfId="0" applyBorder="1" applyAlignment="1">
      <alignment horizontal="center"/>
    </xf>
    <xf numFmtId="0" fontId="1" fillId="2" borderId="3"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 fillId="2" borderId="3" xfId="0" applyFont="1" applyFill="1" applyBorder="1" applyAlignment="1">
      <alignment horizontal="center" vertical="center" textRotation="90" wrapText="1"/>
    </xf>
    <xf numFmtId="0" fontId="1" fillId="2" borderId="6" xfId="0" applyFont="1" applyFill="1" applyBorder="1" applyAlignment="1">
      <alignment horizontal="center" vertical="center" textRotation="90" wrapText="1"/>
    </xf>
    <xf numFmtId="0" fontId="1" fillId="2" borderId="4"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20" fillId="0" borderId="18" xfId="0" applyFont="1" applyBorder="1" applyAlignment="1">
      <alignment horizontal="center"/>
    </xf>
    <xf numFmtId="0" fontId="0" fillId="0" borderId="18" xfId="0" applyBorder="1" applyAlignment="1">
      <alignment horizontal="center"/>
    </xf>
    <xf numFmtId="0" fontId="1" fillId="0" borderId="1" xfId="0" applyFont="1" applyBorder="1" applyAlignment="1">
      <alignment horizontal="center"/>
    </xf>
    <xf numFmtId="0" fontId="1" fillId="0" borderId="20" xfId="0" applyFont="1" applyBorder="1" applyAlignment="1">
      <alignment horizontal="center"/>
    </xf>
    <xf numFmtId="0" fontId="1" fillId="0" borderId="8" xfId="0" applyFont="1" applyBorder="1" applyAlignment="1">
      <alignment horizontal="center"/>
    </xf>
    <xf numFmtId="0" fontId="1" fillId="0" borderId="21" xfId="0" applyFont="1" applyBorder="1" applyAlignment="1">
      <alignment horizontal="center"/>
    </xf>
    <xf numFmtId="0" fontId="1" fillId="0" borderId="22" xfId="0" applyFont="1" applyBorder="1" applyAlignment="1">
      <alignment horizontal="center" vertical="center"/>
    </xf>
    <xf numFmtId="0" fontId="1" fillId="0" borderId="24" xfId="0" applyFont="1" applyBorder="1" applyAlignment="1">
      <alignment horizontal="center" vertical="center"/>
    </xf>
  </cellXfs>
  <cellStyles count="4">
    <cellStyle name="Hyperlink" xfId="3" builtinId="8"/>
    <cellStyle name="Normal" xfId="0" builtinId="0"/>
    <cellStyle name="Normal 4" xfId="1" xr:uid="{00000000-0005-0000-0000-000002000000}"/>
    <cellStyle name="Normal 6" xfId="2" xr:uid="{00000000-0005-0000-0000-000003000000}"/>
  </cellStyles>
  <dxfs count="0"/>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12</xdr:col>
      <xdr:colOff>449036</xdr:colOff>
      <xdr:row>1</xdr:row>
      <xdr:rowOff>394608</xdr:rowOff>
    </xdr:from>
    <xdr:to>
      <xdr:col>14</xdr:col>
      <xdr:colOff>95250</xdr:colOff>
      <xdr:row>1</xdr:row>
      <xdr:rowOff>830036</xdr:rowOff>
    </xdr:to>
    <xdr:sp macro="[0]!Last_Oval1_Click" textlink="">
      <xdr:nvSpPr>
        <xdr:cNvPr id="2" name="Oval 1">
          <a:extLst>
            <a:ext uri="{FF2B5EF4-FFF2-40B4-BE49-F238E27FC236}">
              <a16:creationId xmlns:a16="http://schemas.microsoft.com/office/drawing/2014/main" id="{00000000-0008-0000-0100-000002000000}"/>
            </a:ext>
          </a:extLst>
        </xdr:cNvPr>
        <xdr:cNvSpPr/>
      </xdr:nvSpPr>
      <xdr:spPr>
        <a:xfrm>
          <a:off x="54972857" y="585108"/>
          <a:ext cx="870857" cy="435428"/>
        </a:xfrm>
        <a:prstGeom prst="ellipse">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tr-TR" sz="1100"/>
            <a:t>delete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44824</xdr:colOff>
      <xdr:row>0</xdr:row>
      <xdr:rowOff>11206</xdr:rowOff>
    </xdr:from>
    <xdr:to>
      <xdr:col>0</xdr:col>
      <xdr:colOff>963706</xdr:colOff>
      <xdr:row>1</xdr:row>
      <xdr:rowOff>33618</xdr:rowOff>
    </xdr:to>
    <xdr:sp macro="[0]!Clearcells" textlink="">
      <xdr:nvSpPr>
        <xdr:cNvPr id="2" name="Rectangle 1">
          <a:extLst>
            <a:ext uri="{FF2B5EF4-FFF2-40B4-BE49-F238E27FC236}">
              <a16:creationId xmlns:a16="http://schemas.microsoft.com/office/drawing/2014/main" id="{00000000-0008-0000-0200-000002000000}"/>
            </a:ext>
          </a:extLst>
        </xdr:cNvPr>
        <xdr:cNvSpPr/>
      </xdr:nvSpPr>
      <xdr:spPr>
        <a:xfrm>
          <a:off x="44824" y="11206"/>
          <a:ext cx="918882" cy="21291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CLEAR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24</xdr:col>
      <xdr:colOff>176893</xdr:colOff>
      <xdr:row>2</xdr:row>
      <xdr:rowOff>54428</xdr:rowOff>
    </xdr:from>
    <xdr:to>
      <xdr:col>25</xdr:col>
      <xdr:colOff>394607</xdr:colOff>
      <xdr:row>2</xdr:row>
      <xdr:rowOff>625928</xdr:rowOff>
    </xdr:to>
    <xdr:sp macro="[0]!Oval1_Click" textlink="">
      <xdr:nvSpPr>
        <xdr:cNvPr id="2" name="Oval 1">
          <a:extLst>
            <a:ext uri="{FF2B5EF4-FFF2-40B4-BE49-F238E27FC236}">
              <a16:creationId xmlns:a16="http://schemas.microsoft.com/office/drawing/2014/main" id="{00000000-0008-0000-0500-000002000000}"/>
            </a:ext>
          </a:extLst>
        </xdr:cNvPr>
        <xdr:cNvSpPr/>
      </xdr:nvSpPr>
      <xdr:spPr>
        <a:xfrm>
          <a:off x="22356536" y="585107"/>
          <a:ext cx="830035" cy="571500"/>
        </a:xfrm>
        <a:prstGeom prst="ellipse">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tr-TR" sz="1100"/>
            <a:t>delete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378279</xdr:colOff>
      <xdr:row>1</xdr:row>
      <xdr:rowOff>24493</xdr:rowOff>
    </xdr:from>
    <xdr:to>
      <xdr:col>11</xdr:col>
      <xdr:colOff>1330779</xdr:colOff>
      <xdr:row>4</xdr:row>
      <xdr:rowOff>43543</xdr:rowOff>
    </xdr:to>
    <xdr:sp macro="[0]!Sheet2_Oval1_Click" textlink="">
      <xdr:nvSpPr>
        <xdr:cNvPr id="2" name="Oval 1">
          <a:extLst>
            <a:ext uri="{FF2B5EF4-FFF2-40B4-BE49-F238E27FC236}">
              <a16:creationId xmlns:a16="http://schemas.microsoft.com/office/drawing/2014/main" id="{00000000-0008-0000-0600-000002000000}"/>
            </a:ext>
          </a:extLst>
        </xdr:cNvPr>
        <xdr:cNvSpPr/>
      </xdr:nvSpPr>
      <xdr:spPr>
        <a:xfrm>
          <a:off x="13454743" y="214993"/>
          <a:ext cx="952500" cy="590550"/>
        </a:xfrm>
        <a:prstGeom prst="ellipse">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tr-TR" sz="1100"/>
            <a:t>delete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egitimdeyapilanma.istanbul.edu.tr/izlence.php?id=26533"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egitimdeyapilanma.istanbul.edu.tr/izlence.php?id=26533"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pageSetUpPr fitToPage="1"/>
  </sheetPr>
  <dimension ref="A1:AZ288"/>
  <sheetViews>
    <sheetView tabSelected="1" topLeftCell="M1" zoomScale="85" zoomScaleNormal="85" zoomScaleSheetLayoutView="55" workbookViewId="0">
      <pane ySplit="3" topLeftCell="A25" activePane="bottomLeft" state="frozen"/>
      <selection pane="bottomLeft" activeCell="AT34" sqref="AT34"/>
    </sheetView>
  </sheetViews>
  <sheetFormatPr defaultRowHeight="15" x14ac:dyDescent="0.25"/>
  <cols>
    <col min="1" max="1" width="8.5703125" style="9" bestFit="1" customWidth="1"/>
    <col min="2" max="2" width="54" style="14" bestFit="1" customWidth="1"/>
    <col min="3" max="3" width="13.42578125" customWidth="1"/>
    <col min="4" max="4" width="7.42578125" customWidth="1"/>
    <col min="5" max="5" width="9" customWidth="1"/>
    <col min="6" max="6" width="8.5703125" customWidth="1"/>
    <col min="7" max="7" width="10.85546875" customWidth="1"/>
    <col min="8" max="9" width="11.42578125" customWidth="1"/>
    <col min="10" max="10" width="7.140625" style="33" customWidth="1"/>
    <col min="11" max="11" width="8.28515625" customWidth="1"/>
    <col min="12" max="12" width="14.5703125" customWidth="1"/>
    <col min="13" max="13" width="9.5703125" bestFit="1" customWidth="1"/>
    <col min="14" max="14" width="8.85546875" customWidth="1"/>
    <col min="15" max="16" width="3.5703125" customWidth="1"/>
    <col min="17" max="17" width="5.140625" customWidth="1"/>
    <col min="18" max="18" width="6.7109375" bestFit="1" customWidth="1"/>
    <col min="19" max="19" width="6.7109375" customWidth="1"/>
    <col min="20" max="20" width="2.5703125" customWidth="1"/>
    <col min="21" max="21" width="4.28515625" customWidth="1"/>
    <col min="22" max="23" width="8.85546875" customWidth="1"/>
    <col min="24" max="25" width="9.7109375" customWidth="1"/>
    <col min="26" max="26" width="4.7109375" customWidth="1"/>
    <col min="27" max="27" width="4.28515625" customWidth="1"/>
    <col min="28" max="29" width="7.5703125" customWidth="1"/>
    <col min="30" max="30" width="3.28515625" customWidth="1"/>
    <col min="31" max="32" width="7.42578125" customWidth="1"/>
    <col min="33" max="33" width="1.5703125" customWidth="1"/>
    <col min="34" max="35" width="7.42578125" customWidth="1"/>
    <col min="36" max="36" width="2" customWidth="1"/>
    <col min="37" max="38" width="7.42578125" customWidth="1"/>
    <col min="39" max="39" width="2.140625" customWidth="1"/>
    <col min="40" max="41" width="7.42578125" customWidth="1"/>
    <col min="42" max="42" width="3.140625" customWidth="1"/>
    <col min="43" max="44" width="7.42578125" customWidth="1"/>
    <col min="45" max="45" width="2.42578125" customWidth="1"/>
    <col min="46" max="47" width="7.42578125" customWidth="1"/>
    <col min="48" max="48" width="4.140625" customWidth="1"/>
    <col min="49" max="50" width="7.42578125" customWidth="1"/>
    <col min="51" max="51" width="13.140625" bestFit="1" customWidth="1"/>
    <col min="52" max="52" width="14.5703125" bestFit="1" customWidth="1"/>
  </cols>
  <sheetData>
    <row r="1" spans="1:52" ht="14.45" customHeight="1" x14ac:dyDescent="0.25">
      <c r="Q1" s="133" t="s">
        <v>259</v>
      </c>
      <c r="R1" s="133"/>
      <c r="S1" s="97"/>
      <c r="V1" s="131" t="s">
        <v>65</v>
      </c>
      <c r="W1" s="132"/>
      <c r="X1" s="132"/>
      <c r="Y1" s="132"/>
      <c r="AE1" s="134" t="s">
        <v>4</v>
      </c>
      <c r="AF1" s="134"/>
      <c r="AH1" s="134" t="s">
        <v>3</v>
      </c>
      <c r="AI1" s="134"/>
      <c r="AK1" s="134" t="s">
        <v>7</v>
      </c>
      <c r="AL1" s="134"/>
      <c r="AN1" s="134" t="s">
        <v>9</v>
      </c>
      <c r="AO1" s="134"/>
      <c r="AQ1" s="134" t="s">
        <v>11</v>
      </c>
      <c r="AR1" s="134"/>
      <c r="AT1" s="134" t="s">
        <v>13</v>
      </c>
      <c r="AU1" s="134"/>
      <c r="AW1" s="134" t="s">
        <v>15</v>
      </c>
      <c r="AX1" s="134"/>
    </row>
    <row r="2" spans="1:52" ht="60" x14ac:dyDescent="0.25">
      <c r="A2" s="135" t="s">
        <v>62</v>
      </c>
      <c r="B2" s="13" t="s">
        <v>61</v>
      </c>
      <c r="C2" s="32" t="s">
        <v>63</v>
      </c>
      <c r="D2" s="116" t="s">
        <v>339</v>
      </c>
      <c r="E2" s="39" t="s">
        <v>60</v>
      </c>
      <c r="F2" s="39" t="s">
        <v>59</v>
      </c>
      <c r="G2" s="39" t="s">
        <v>57</v>
      </c>
      <c r="H2" s="39" t="s">
        <v>58</v>
      </c>
      <c r="I2" s="39" t="s">
        <v>259</v>
      </c>
      <c r="J2" s="34"/>
      <c r="K2" s="2"/>
      <c r="L2" s="135" t="s">
        <v>68</v>
      </c>
      <c r="M2" s="120" t="s">
        <v>67</v>
      </c>
      <c r="N2" s="1" t="s">
        <v>66</v>
      </c>
      <c r="Q2" s="11" t="s">
        <v>261</v>
      </c>
      <c r="R2" s="11" t="s">
        <v>69</v>
      </c>
      <c r="S2" s="11" t="s">
        <v>260</v>
      </c>
      <c r="V2" s="5" t="s">
        <v>270</v>
      </c>
      <c r="W2" s="5" t="s">
        <v>271</v>
      </c>
      <c r="X2" s="5" t="s">
        <v>272</v>
      </c>
      <c r="Y2" s="102" t="s">
        <v>269</v>
      </c>
      <c r="AB2" s="139" t="s">
        <v>64</v>
      </c>
      <c r="AC2" s="140"/>
      <c r="AD2" s="3"/>
      <c r="AE2" s="30" t="s">
        <v>71</v>
      </c>
      <c r="AF2" s="30" t="s">
        <v>72</v>
      </c>
      <c r="AG2" s="31"/>
      <c r="AH2" s="30" t="s">
        <v>71</v>
      </c>
      <c r="AI2" s="30" t="s">
        <v>72</v>
      </c>
      <c r="AJ2" s="31"/>
      <c r="AK2" s="30" t="s">
        <v>71</v>
      </c>
      <c r="AL2" s="30" t="s">
        <v>72</v>
      </c>
      <c r="AM2" s="31"/>
      <c r="AN2" s="30" t="s">
        <v>71</v>
      </c>
      <c r="AO2" s="30" t="s">
        <v>72</v>
      </c>
      <c r="AP2" s="31"/>
      <c r="AQ2" s="30" t="s">
        <v>71</v>
      </c>
      <c r="AR2" s="30" t="s">
        <v>72</v>
      </c>
      <c r="AS2" s="11"/>
      <c r="AT2" s="30" t="s">
        <v>71</v>
      </c>
      <c r="AU2" s="30" t="s">
        <v>72</v>
      </c>
      <c r="AV2" s="11"/>
      <c r="AW2" s="30" t="s">
        <v>71</v>
      </c>
      <c r="AX2" s="30" t="s">
        <v>72</v>
      </c>
      <c r="AY2" s="96" t="s">
        <v>244</v>
      </c>
      <c r="AZ2" s="135" t="s">
        <v>73</v>
      </c>
    </row>
    <row r="3" spans="1:52" x14ac:dyDescent="0.25">
      <c r="A3" s="135"/>
      <c r="B3" s="6">
        <v>1</v>
      </c>
      <c r="C3" s="41">
        <v>2</v>
      </c>
      <c r="D3" s="40">
        <v>0</v>
      </c>
      <c r="E3" s="40">
        <v>1</v>
      </c>
      <c r="F3" s="40">
        <v>2</v>
      </c>
      <c r="G3" s="40">
        <v>3</v>
      </c>
      <c r="H3" s="40">
        <v>4</v>
      </c>
      <c r="I3" s="40">
        <v>5</v>
      </c>
      <c r="J3" s="35"/>
      <c r="K3" s="2"/>
      <c r="L3" s="135"/>
      <c r="M3" s="119">
        <v>0</v>
      </c>
      <c r="N3" s="7">
        <v>1</v>
      </c>
      <c r="Q3" s="11">
        <v>1</v>
      </c>
      <c r="R3" s="11">
        <v>2</v>
      </c>
      <c r="S3" s="11">
        <v>3</v>
      </c>
      <c r="V3" s="101">
        <v>0</v>
      </c>
      <c r="W3" s="101">
        <v>1</v>
      </c>
      <c r="X3" s="101">
        <v>2</v>
      </c>
      <c r="Y3" s="6">
        <v>3</v>
      </c>
      <c r="AB3" s="15">
        <v>0</v>
      </c>
      <c r="AC3" s="15">
        <v>1</v>
      </c>
      <c r="AD3" s="3"/>
      <c r="AE3" s="29">
        <v>1</v>
      </c>
      <c r="AF3" s="6">
        <v>2</v>
      </c>
      <c r="AG3" s="10"/>
      <c r="AH3" s="29">
        <v>3</v>
      </c>
      <c r="AI3" s="6">
        <v>4</v>
      </c>
      <c r="AJ3" s="10"/>
      <c r="AK3" s="29">
        <v>5</v>
      </c>
      <c r="AL3" s="6">
        <v>6</v>
      </c>
      <c r="AN3" s="29">
        <v>7</v>
      </c>
      <c r="AO3" s="6">
        <v>8</v>
      </c>
      <c r="AQ3" s="29">
        <v>9</v>
      </c>
      <c r="AR3" s="6">
        <v>10</v>
      </c>
      <c r="AT3" s="29">
        <v>11</v>
      </c>
      <c r="AU3" s="6">
        <v>12</v>
      </c>
      <c r="AW3" s="29">
        <v>13</v>
      </c>
      <c r="AX3" s="6">
        <v>14</v>
      </c>
      <c r="AY3" t="s">
        <v>245</v>
      </c>
      <c r="AZ3" s="135">
        <v>13</v>
      </c>
    </row>
    <row r="4" spans="1:52" x14ac:dyDescent="0.25">
      <c r="A4" s="12">
        <v>1</v>
      </c>
      <c r="B4" s="43" t="s">
        <v>74</v>
      </c>
      <c r="C4" s="44">
        <v>70</v>
      </c>
      <c r="D4" s="44">
        <v>1</v>
      </c>
      <c r="E4" s="100">
        <v>1</v>
      </c>
      <c r="F4" s="100">
        <v>1</v>
      </c>
      <c r="G4" s="42">
        <v>0</v>
      </c>
      <c r="H4" s="100">
        <f>IF(G4=0,IF(C4&lt;67,0,1),IF(C4&lt;26,0,1))</f>
        <v>1</v>
      </c>
      <c r="I4" s="100" t="s">
        <v>262</v>
      </c>
      <c r="J4" s="36"/>
      <c r="K4" s="136" t="s">
        <v>0</v>
      </c>
      <c r="L4" s="85">
        <v>1</v>
      </c>
      <c r="M4" s="86" t="s">
        <v>17</v>
      </c>
      <c r="N4" s="86">
        <v>66</v>
      </c>
      <c r="P4" s="99">
        <v>1</v>
      </c>
      <c r="Q4" s="11" t="s">
        <v>262</v>
      </c>
      <c r="R4" s="11">
        <v>4</v>
      </c>
      <c r="S4" s="11">
        <v>6</v>
      </c>
      <c r="U4" s="11">
        <v>0</v>
      </c>
      <c r="V4" s="11">
        <v>25</v>
      </c>
      <c r="W4" s="11">
        <v>86</v>
      </c>
      <c r="X4" s="11">
        <v>100</v>
      </c>
      <c r="Y4" s="11">
        <v>1</v>
      </c>
      <c r="AA4" s="15"/>
      <c r="AB4" s="4"/>
      <c r="AC4" s="4"/>
      <c r="AD4" s="3"/>
      <c r="AE4" s="91">
        <v>1</v>
      </c>
      <c r="AF4" s="91">
        <v>12</v>
      </c>
      <c r="AG4" s="92"/>
      <c r="AH4" s="91">
        <v>23</v>
      </c>
      <c r="AI4" s="91">
        <v>37</v>
      </c>
      <c r="AJ4" s="90"/>
      <c r="AK4" s="91">
        <v>49</v>
      </c>
      <c r="AL4" s="91">
        <v>67</v>
      </c>
      <c r="AM4" s="93"/>
      <c r="AN4" s="91">
        <v>82</v>
      </c>
      <c r="AO4" s="91">
        <v>92</v>
      </c>
      <c r="AP4" s="93"/>
      <c r="AQ4" s="91">
        <v>103</v>
      </c>
      <c r="AR4" s="91">
        <v>112</v>
      </c>
      <c r="AS4" s="93"/>
      <c r="AT4" s="91">
        <v>125</v>
      </c>
      <c r="AU4" s="91">
        <v>138</v>
      </c>
      <c r="AV4" s="93"/>
      <c r="AW4" s="91">
        <v>150</v>
      </c>
      <c r="AX4" s="91">
        <v>161</v>
      </c>
      <c r="AY4" t="s">
        <v>246</v>
      </c>
      <c r="AZ4" s="4">
        <v>14</v>
      </c>
    </row>
    <row r="5" spans="1:52" x14ac:dyDescent="0.25">
      <c r="A5" s="12">
        <v>2</v>
      </c>
      <c r="B5" s="45" t="s">
        <v>75</v>
      </c>
      <c r="C5" s="44">
        <v>71</v>
      </c>
      <c r="D5" s="44">
        <v>1</v>
      </c>
      <c r="E5" s="100">
        <v>1</v>
      </c>
      <c r="F5" s="118">
        <v>1</v>
      </c>
      <c r="G5" s="42">
        <v>0</v>
      </c>
      <c r="H5" s="100">
        <f t="shared" ref="H5:H68" si="0">IF(G5=0,IF(C5&lt;67,0,1),IF(C5&lt;26,0,1))</f>
        <v>1</v>
      </c>
      <c r="I5" s="100">
        <v>0</v>
      </c>
      <c r="J5" s="36"/>
      <c r="K5" s="137"/>
      <c r="L5" s="85">
        <v>2</v>
      </c>
      <c r="M5" s="86" t="s">
        <v>18</v>
      </c>
      <c r="N5" s="86">
        <v>66</v>
      </c>
      <c r="P5" s="99">
        <v>2</v>
      </c>
      <c r="Q5" s="11" t="s">
        <v>263</v>
      </c>
      <c r="R5" s="11">
        <v>4</v>
      </c>
      <c r="S5" s="11">
        <v>7</v>
      </c>
      <c r="U5" s="11">
        <v>1</v>
      </c>
      <c r="V5" s="11">
        <v>44</v>
      </c>
      <c r="W5" s="11">
        <v>136</v>
      </c>
      <c r="X5" s="11">
        <v>100</v>
      </c>
      <c r="Y5" s="11">
        <v>0</v>
      </c>
      <c r="AA5" s="15"/>
      <c r="AB5" s="4"/>
      <c r="AC5" s="4"/>
      <c r="AD5" s="3"/>
      <c r="AE5" s="91">
        <v>2</v>
      </c>
      <c r="AF5" s="91">
        <v>13</v>
      </c>
      <c r="AG5" s="92"/>
      <c r="AH5" s="91">
        <v>24</v>
      </c>
      <c r="AI5" s="91">
        <v>38</v>
      </c>
      <c r="AJ5" s="90"/>
      <c r="AK5" s="91">
        <v>50</v>
      </c>
      <c r="AL5" s="91">
        <v>68</v>
      </c>
      <c r="AM5" s="93"/>
      <c r="AN5" s="91">
        <v>83</v>
      </c>
      <c r="AO5" s="91">
        <v>93</v>
      </c>
      <c r="AP5" s="93"/>
      <c r="AQ5" s="91">
        <v>104</v>
      </c>
      <c r="AR5" s="91">
        <v>113</v>
      </c>
      <c r="AS5" s="93"/>
      <c r="AT5" s="91">
        <v>126</v>
      </c>
      <c r="AU5" s="91">
        <v>139</v>
      </c>
      <c r="AV5" s="93"/>
      <c r="AW5" s="91">
        <v>151</v>
      </c>
      <c r="AX5" s="91">
        <v>162</v>
      </c>
      <c r="AY5" t="s">
        <v>247</v>
      </c>
      <c r="AZ5" s="4">
        <v>15</v>
      </c>
    </row>
    <row r="6" spans="1:52" x14ac:dyDescent="0.25">
      <c r="A6" s="12">
        <v>3</v>
      </c>
      <c r="B6" s="46" t="s">
        <v>76</v>
      </c>
      <c r="C6" s="44">
        <v>71</v>
      </c>
      <c r="D6" s="44">
        <v>1</v>
      </c>
      <c r="E6" s="100">
        <v>1</v>
      </c>
      <c r="F6" s="118">
        <v>1</v>
      </c>
      <c r="G6" s="42">
        <v>0</v>
      </c>
      <c r="H6" s="100">
        <f t="shared" si="0"/>
        <v>1</v>
      </c>
      <c r="I6" s="100">
        <v>0</v>
      </c>
      <c r="J6" s="36"/>
      <c r="K6" s="137"/>
      <c r="L6" s="85">
        <v>3</v>
      </c>
      <c r="M6" s="86" t="s">
        <v>19</v>
      </c>
      <c r="N6" s="86">
        <v>66</v>
      </c>
      <c r="P6" s="99">
        <v>3</v>
      </c>
      <c r="Q6" s="11" t="s">
        <v>264</v>
      </c>
      <c r="R6" s="11">
        <v>5</v>
      </c>
      <c r="S6" s="11">
        <v>6</v>
      </c>
      <c r="U6" s="11">
        <v>2</v>
      </c>
      <c r="V6" s="11">
        <v>34</v>
      </c>
      <c r="W6" s="11">
        <v>135</v>
      </c>
      <c r="X6" s="11">
        <v>100</v>
      </c>
      <c r="Y6" s="11">
        <v>0</v>
      </c>
      <c r="AA6" s="15"/>
      <c r="AB6" s="4"/>
      <c r="AC6" s="4"/>
      <c r="AD6" s="3"/>
      <c r="AE6" s="91">
        <v>3</v>
      </c>
      <c r="AF6" s="91">
        <v>14</v>
      </c>
      <c r="AG6" s="92"/>
      <c r="AH6" s="91">
        <v>25</v>
      </c>
      <c r="AI6" s="91">
        <v>39</v>
      </c>
      <c r="AJ6" s="90"/>
      <c r="AK6" s="91">
        <v>51</v>
      </c>
      <c r="AL6" s="91">
        <v>69</v>
      </c>
      <c r="AM6" s="93"/>
      <c r="AN6" s="91">
        <v>84</v>
      </c>
      <c r="AO6" s="91">
        <v>94</v>
      </c>
      <c r="AP6" s="93"/>
      <c r="AQ6" s="91">
        <v>105</v>
      </c>
      <c r="AR6" s="91">
        <v>114</v>
      </c>
      <c r="AS6" s="93"/>
      <c r="AT6" s="91">
        <v>127</v>
      </c>
      <c r="AU6" s="91">
        <v>140</v>
      </c>
      <c r="AV6" s="93"/>
      <c r="AW6" s="91">
        <v>152</v>
      </c>
      <c r="AX6" s="91">
        <v>163</v>
      </c>
      <c r="AY6" t="s">
        <v>248</v>
      </c>
      <c r="AZ6" s="4">
        <v>16</v>
      </c>
    </row>
    <row r="7" spans="1:52" x14ac:dyDescent="0.25">
      <c r="A7" s="12">
        <v>4</v>
      </c>
      <c r="B7" s="45" t="s">
        <v>77</v>
      </c>
      <c r="C7" s="44">
        <v>75</v>
      </c>
      <c r="D7" s="44">
        <v>1</v>
      </c>
      <c r="E7" s="100">
        <v>1</v>
      </c>
      <c r="F7" s="118">
        <v>1</v>
      </c>
      <c r="G7" s="42">
        <v>0</v>
      </c>
      <c r="H7" s="100">
        <f t="shared" si="0"/>
        <v>1</v>
      </c>
      <c r="I7" s="100">
        <v>0</v>
      </c>
      <c r="J7" s="36"/>
      <c r="K7" s="137"/>
      <c r="L7" s="85">
        <v>4</v>
      </c>
      <c r="M7" s="86" t="s">
        <v>20</v>
      </c>
      <c r="N7" s="86">
        <v>66</v>
      </c>
      <c r="P7" s="99">
        <v>4</v>
      </c>
      <c r="Q7" s="11" t="s">
        <v>265</v>
      </c>
      <c r="R7" s="11">
        <v>5</v>
      </c>
      <c r="S7" s="11">
        <v>7</v>
      </c>
      <c r="U7" s="11">
        <v>3</v>
      </c>
      <c r="V7" s="11">
        <v>43</v>
      </c>
      <c r="W7" s="11">
        <v>102</v>
      </c>
      <c r="X7" s="11">
        <v>100</v>
      </c>
      <c r="Y7" s="11">
        <v>1</v>
      </c>
      <c r="AA7" s="15"/>
      <c r="AB7" s="4"/>
      <c r="AC7" s="4"/>
      <c r="AD7" s="3"/>
      <c r="AE7" s="91">
        <v>4</v>
      </c>
      <c r="AF7" s="91">
        <v>15</v>
      </c>
      <c r="AG7" s="92"/>
      <c r="AH7" s="91">
        <v>26</v>
      </c>
      <c r="AI7" s="91">
        <v>40</v>
      </c>
      <c r="AJ7" s="90"/>
      <c r="AK7" s="91">
        <v>52</v>
      </c>
      <c r="AL7" s="91">
        <v>70</v>
      </c>
      <c r="AM7" s="93"/>
      <c r="AN7" s="91">
        <v>85</v>
      </c>
      <c r="AO7" s="91">
        <v>95</v>
      </c>
      <c r="AP7" s="93"/>
      <c r="AQ7" s="91">
        <v>106</v>
      </c>
      <c r="AR7" s="91">
        <v>115</v>
      </c>
      <c r="AS7" s="93"/>
      <c r="AT7" s="91">
        <v>128</v>
      </c>
      <c r="AU7" s="91">
        <v>141</v>
      </c>
      <c r="AV7" s="93"/>
      <c r="AW7" s="91">
        <v>153</v>
      </c>
      <c r="AX7" s="91">
        <v>164</v>
      </c>
      <c r="AY7" t="s">
        <v>249</v>
      </c>
      <c r="AZ7" s="4">
        <v>17</v>
      </c>
    </row>
    <row r="8" spans="1:52" x14ac:dyDescent="0.25">
      <c r="A8" s="12">
        <v>5</v>
      </c>
      <c r="B8" s="43" t="s">
        <v>78</v>
      </c>
      <c r="C8" s="44">
        <v>75</v>
      </c>
      <c r="D8" s="44">
        <v>1</v>
      </c>
      <c r="E8" s="100">
        <v>1</v>
      </c>
      <c r="F8" s="118">
        <v>1</v>
      </c>
      <c r="G8" s="42">
        <v>0</v>
      </c>
      <c r="H8" s="100">
        <f t="shared" si="0"/>
        <v>1</v>
      </c>
      <c r="I8" s="100">
        <v>0</v>
      </c>
      <c r="J8" s="36"/>
      <c r="K8" s="137"/>
      <c r="L8" s="85">
        <v>5</v>
      </c>
      <c r="M8" s="86" t="s">
        <v>21</v>
      </c>
      <c r="N8" s="86">
        <v>66</v>
      </c>
      <c r="P8" s="99">
        <v>6</v>
      </c>
      <c r="Q8" s="11" t="s">
        <v>266</v>
      </c>
      <c r="R8" s="11">
        <v>6</v>
      </c>
      <c r="S8" s="11">
        <v>6</v>
      </c>
      <c r="U8" s="11">
        <v>4</v>
      </c>
      <c r="V8" s="11">
        <v>4</v>
      </c>
      <c r="W8" s="11">
        <v>27</v>
      </c>
      <c r="X8" s="11">
        <v>200</v>
      </c>
      <c r="Y8" s="11">
        <v>1</v>
      </c>
      <c r="AA8" s="15"/>
      <c r="AB8" s="4"/>
      <c r="AC8" s="4"/>
      <c r="AD8" s="3"/>
      <c r="AE8" s="91">
        <v>5</v>
      </c>
      <c r="AF8" s="91">
        <v>16</v>
      </c>
      <c r="AG8" s="92"/>
      <c r="AH8" s="91">
        <v>27</v>
      </c>
      <c r="AI8" s="91">
        <v>41</v>
      </c>
      <c r="AJ8" s="90"/>
      <c r="AK8" s="91">
        <v>53</v>
      </c>
      <c r="AL8" s="91">
        <v>71</v>
      </c>
      <c r="AM8" s="93"/>
      <c r="AN8" s="91">
        <v>86</v>
      </c>
      <c r="AO8" s="91">
        <v>96</v>
      </c>
      <c r="AP8" s="93"/>
      <c r="AQ8" s="91">
        <v>107</v>
      </c>
      <c r="AR8" s="91">
        <v>116</v>
      </c>
      <c r="AS8" s="93"/>
      <c r="AT8" s="91">
        <v>129</v>
      </c>
      <c r="AU8" s="91">
        <v>142</v>
      </c>
      <c r="AV8" s="93"/>
      <c r="AW8" s="91">
        <v>154</v>
      </c>
      <c r="AX8" s="91">
        <v>165</v>
      </c>
      <c r="AY8" t="s">
        <v>250</v>
      </c>
      <c r="AZ8" s="4">
        <v>18</v>
      </c>
    </row>
    <row r="9" spans="1:52" x14ac:dyDescent="0.25">
      <c r="A9" s="12">
        <v>6</v>
      </c>
      <c r="B9" s="45" t="s">
        <v>79</v>
      </c>
      <c r="C9" s="44">
        <v>88</v>
      </c>
      <c r="D9" s="44">
        <v>1</v>
      </c>
      <c r="E9" s="100">
        <v>1</v>
      </c>
      <c r="F9" s="118">
        <v>1</v>
      </c>
      <c r="G9" s="42">
        <v>0</v>
      </c>
      <c r="H9" s="100">
        <f t="shared" si="0"/>
        <v>1</v>
      </c>
      <c r="I9" s="100">
        <v>0</v>
      </c>
      <c r="J9" s="36"/>
      <c r="K9" s="137"/>
      <c r="L9" s="85">
        <v>6</v>
      </c>
      <c r="M9" s="86" t="s">
        <v>326</v>
      </c>
      <c r="N9" s="86">
        <v>48</v>
      </c>
      <c r="P9" s="99">
        <v>7</v>
      </c>
      <c r="Q9" s="11" t="s">
        <v>267</v>
      </c>
      <c r="R9" s="11">
        <v>6</v>
      </c>
      <c r="S9" s="11">
        <v>7</v>
      </c>
      <c r="U9" s="11">
        <v>5</v>
      </c>
      <c r="V9" s="11">
        <v>27</v>
      </c>
      <c r="W9" s="11">
        <v>58</v>
      </c>
      <c r="X9" s="11">
        <v>200</v>
      </c>
      <c r="Y9" s="11">
        <v>1</v>
      </c>
      <c r="AA9" s="15"/>
      <c r="AB9" s="4"/>
      <c r="AC9" s="4"/>
      <c r="AD9" s="3"/>
      <c r="AE9" s="91">
        <v>6</v>
      </c>
      <c r="AF9" s="91">
        <v>17</v>
      </c>
      <c r="AG9" s="92"/>
      <c r="AH9" s="91">
        <v>28</v>
      </c>
      <c r="AI9" s="91">
        <v>42</v>
      </c>
      <c r="AJ9" s="90"/>
      <c r="AK9" s="91">
        <v>54</v>
      </c>
      <c r="AL9" s="91">
        <v>72</v>
      </c>
      <c r="AM9" s="93"/>
      <c r="AN9" s="91">
        <v>87</v>
      </c>
      <c r="AO9" s="91">
        <v>97</v>
      </c>
      <c r="AP9" s="93"/>
      <c r="AQ9" s="91">
        <v>108</v>
      </c>
      <c r="AR9" s="91">
        <v>117</v>
      </c>
      <c r="AS9" s="93"/>
      <c r="AT9" s="91">
        <v>130</v>
      </c>
      <c r="AU9" s="91">
        <v>143</v>
      </c>
      <c r="AV9" s="93"/>
      <c r="AW9" s="91">
        <v>155</v>
      </c>
      <c r="AX9" s="91">
        <v>166</v>
      </c>
      <c r="AY9" t="s">
        <v>251</v>
      </c>
      <c r="AZ9" s="4"/>
    </row>
    <row r="10" spans="1:52" x14ac:dyDescent="0.25">
      <c r="A10" s="12">
        <v>7</v>
      </c>
      <c r="B10" s="43" t="s">
        <v>80</v>
      </c>
      <c r="C10" s="47">
        <v>71</v>
      </c>
      <c r="D10" s="47">
        <v>1</v>
      </c>
      <c r="E10" s="100">
        <v>1</v>
      </c>
      <c r="F10" s="118">
        <v>1</v>
      </c>
      <c r="G10" s="42">
        <v>1</v>
      </c>
      <c r="H10" s="100">
        <f t="shared" si="0"/>
        <v>1</v>
      </c>
      <c r="I10" s="100">
        <v>0</v>
      </c>
      <c r="J10" s="36"/>
      <c r="K10" s="137"/>
      <c r="L10" s="85">
        <v>7</v>
      </c>
      <c r="M10" s="86" t="s">
        <v>327</v>
      </c>
      <c r="N10" s="86">
        <v>45</v>
      </c>
      <c r="P10" s="99"/>
      <c r="Q10" s="11"/>
      <c r="R10" s="11"/>
      <c r="S10" s="11"/>
      <c r="U10" s="11">
        <v>6</v>
      </c>
      <c r="V10" s="11">
        <v>58</v>
      </c>
      <c r="W10" s="11">
        <v>59</v>
      </c>
      <c r="X10" s="11">
        <v>200</v>
      </c>
      <c r="Y10" s="11">
        <v>1</v>
      </c>
      <c r="AA10" s="15"/>
      <c r="AB10" s="4"/>
      <c r="AC10" s="4"/>
      <c r="AD10" s="3"/>
      <c r="AE10" s="91">
        <v>7</v>
      </c>
      <c r="AF10" s="91">
        <v>18</v>
      </c>
      <c r="AG10" s="92"/>
      <c r="AH10" s="91">
        <v>29</v>
      </c>
      <c r="AI10" s="91">
        <v>43</v>
      </c>
      <c r="AJ10" s="90"/>
      <c r="AK10" s="91">
        <v>55</v>
      </c>
      <c r="AL10" s="91">
        <v>73</v>
      </c>
      <c r="AM10" s="93"/>
      <c r="AN10" s="91">
        <v>88</v>
      </c>
      <c r="AO10" s="91">
        <v>98</v>
      </c>
      <c r="AP10" s="93"/>
      <c r="AQ10" s="91">
        <v>109</v>
      </c>
      <c r="AR10" s="91">
        <v>118</v>
      </c>
      <c r="AS10" s="93"/>
      <c r="AT10" s="91">
        <v>131</v>
      </c>
      <c r="AU10" s="91">
        <v>144</v>
      </c>
      <c r="AV10" s="93"/>
      <c r="AW10" s="91">
        <v>156</v>
      </c>
      <c r="AX10" s="91">
        <v>167</v>
      </c>
      <c r="AY10" t="s">
        <v>252</v>
      </c>
      <c r="AZ10" s="4"/>
    </row>
    <row r="11" spans="1:52" x14ac:dyDescent="0.25">
      <c r="A11" s="12">
        <v>8</v>
      </c>
      <c r="B11" s="43" t="s">
        <v>81</v>
      </c>
      <c r="C11" s="44">
        <v>23</v>
      </c>
      <c r="D11" s="44">
        <v>0</v>
      </c>
      <c r="E11" s="100">
        <v>1</v>
      </c>
      <c r="F11" s="118">
        <v>1</v>
      </c>
      <c r="G11" s="42">
        <v>0</v>
      </c>
      <c r="H11" s="100">
        <f t="shared" si="0"/>
        <v>0</v>
      </c>
      <c r="I11" s="100">
        <v>0</v>
      </c>
      <c r="J11" s="36"/>
      <c r="K11" s="137"/>
      <c r="L11" s="85">
        <v>8</v>
      </c>
      <c r="M11" s="86" t="s">
        <v>328</v>
      </c>
      <c r="N11" s="86">
        <v>45</v>
      </c>
      <c r="P11" s="99"/>
      <c r="Q11" s="11"/>
      <c r="R11" s="11"/>
      <c r="S11" s="11"/>
      <c r="U11" s="11">
        <v>7</v>
      </c>
      <c r="V11" s="11">
        <v>59</v>
      </c>
      <c r="W11" s="11">
        <v>130</v>
      </c>
      <c r="X11" s="11">
        <v>200</v>
      </c>
      <c r="Y11" s="11">
        <v>1</v>
      </c>
      <c r="AA11" s="15"/>
      <c r="AB11" s="4"/>
      <c r="AC11" s="4"/>
      <c r="AD11" s="3"/>
      <c r="AE11" s="91">
        <v>8</v>
      </c>
      <c r="AF11" s="91">
        <v>19</v>
      </c>
      <c r="AG11" s="92"/>
      <c r="AH11" s="91">
        <v>30</v>
      </c>
      <c r="AI11" s="91">
        <v>44</v>
      </c>
      <c r="AJ11" s="90"/>
      <c r="AK11" s="91">
        <v>56</v>
      </c>
      <c r="AL11" s="91">
        <v>74</v>
      </c>
      <c r="AM11" s="93"/>
      <c r="AN11" s="91">
        <v>89</v>
      </c>
      <c r="AO11" s="91">
        <v>99</v>
      </c>
      <c r="AP11" s="93"/>
      <c r="AQ11" s="91">
        <v>110</v>
      </c>
      <c r="AR11" s="91">
        <v>119</v>
      </c>
      <c r="AS11" s="93"/>
      <c r="AT11" s="91">
        <v>132</v>
      </c>
      <c r="AU11" s="91">
        <v>145</v>
      </c>
      <c r="AV11" s="93"/>
      <c r="AW11" s="91">
        <v>157</v>
      </c>
      <c r="AX11" s="91">
        <v>168</v>
      </c>
      <c r="AY11" t="s">
        <v>253</v>
      </c>
      <c r="AZ11" s="4"/>
    </row>
    <row r="12" spans="1:52" x14ac:dyDescent="0.25">
      <c r="A12" s="12">
        <v>9</v>
      </c>
      <c r="B12" s="45" t="s">
        <v>82</v>
      </c>
      <c r="C12" s="44">
        <v>50</v>
      </c>
      <c r="D12" s="44">
        <v>0</v>
      </c>
      <c r="E12" s="100">
        <v>1</v>
      </c>
      <c r="F12" s="118">
        <v>1</v>
      </c>
      <c r="G12" s="42">
        <v>0</v>
      </c>
      <c r="H12" s="100">
        <f t="shared" si="0"/>
        <v>0</v>
      </c>
      <c r="I12" s="100">
        <v>0</v>
      </c>
      <c r="J12" s="36"/>
      <c r="K12" s="137"/>
      <c r="L12" s="85">
        <v>9</v>
      </c>
      <c r="M12" s="86" t="s">
        <v>329</v>
      </c>
      <c r="N12" s="86">
        <v>45</v>
      </c>
      <c r="P12" s="99"/>
      <c r="Q12" s="11"/>
      <c r="R12" s="11"/>
      <c r="S12" s="11"/>
      <c r="U12" s="11">
        <v>8</v>
      </c>
      <c r="V12" s="11">
        <v>18</v>
      </c>
      <c r="W12" s="11">
        <v>66</v>
      </c>
      <c r="X12" s="11">
        <v>50</v>
      </c>
      <c r="Y12" s="11">
        <v>0</v>
      </c>
      <c r="AA12" s="15"/>
      <c r="AB12" s="4"/>
      <c r="AC12" s="4"/>
      <c r="AD12" s="3"/>
      <c r="AE12" s="91">
        <v>9</v>
      </c>
      <c r="AF12" s="91">
        <v>20</v>
      </c>
      <c r="AG12" s="92"/>
      <c r="AH12" s="91">
        <v>31</v>
      </c>
      <c r="AI12" s="91">
        <v>45</v>
      </c>
      <c r="AJ12" s="90"/>
      <c r="AK12" s="91">
        <v>57</v>
      </c>
      <c r="AL12" s="91">
        <v>75</v>
      </c>
      <c r="AM12" s="93"/>
      <c r="AN12" s="91">
        <v>90</v>
      </c>
      <c r="AO12" s="91">
        <v>100</v>
      </c>
      <c r="AP12" s="93"/>
      <c r="AQ12" s="91">
        <v>111</v>
      </c>
      <c r="AR12" s="91">
        <v>120</v>
      </c>
      <c r="AS12" s="93"/>
      <c r="AT12" s="91">
        <v>133</v>
      </c>
      <c r="AU12" s="91">
        <v>146</v>
      </c>
      <c r="AV12" s="93"/>
      <c r="AW12" s="91">
        <v>158</v>
      </c>
      <c r="AX12" s="91">
        <v>169</v>
      </c>
      <c r="AY12" t="s">
        <v>254</v>
      </c>
      <c r="AZ12" s="4"/>
    </row>
    <row r="13" spans="1:52" x14ac:dyDescent="0.25">
      <c r="A13" s="12">
        <v>10</v>
      </c>
      <c r="B13" s="43" t="s">
        <v>83</v>
      </c>
      <c r="C13" s="44">
        <v>74</v>
      </c>
      <c r="D13" s="44">
        <v>1</v>
      </c>
      <c r="E13" s="100">
        <v>1</v>
      </c>
      <c r="F13" s="118">
        <v>1</v>
      </c>
      <c r="G13" s="42">
        <v>0</v>
      </c>
      <c r="H13" s="100">
        <f t="shared" si="0"/>
        <v>1</v>
      </c>
      <c r="I13" s="100" t="s">
        <v>266</v>
      </c>
      <c r="J13" s="36"/>
      <c r="K13" s="137"/>
      <c r="L13" s="85">
        <v>10</v>
      </c>
      <c r="M13" s="86" t="s">
        <v>330</v>
      </c>
      <c r="N13" s="86">
        <v>43</v>
      </c>
      <c r="P13" s="99"/>
      <c r="Q13" s="11"/>
      <c r="R13" s="11"/>
      <c r="S13" s="11"/>
      <c r="U13" s="11">
        <v>9</v>
      </c>
      <c r="V13" s="11">
        <v>66</v>
      </c>
      <c r="W13" s="11">
        <v>97</v>
      </c>
      <c r="X13" s="11">
        <v>50</v>
      </c>
      <c r="Y13" s="11">
        <v>0</v>
      </c>
      <c r="AA13" s="15"/>
      <c r="AB13" s="4"/>
      <c r="AC13" s="4"/>
      <c r="AD13" s="3"/>
      <c r="AE13" s="91">
        <v>10</v>
      </c>
      <c r="AF13" s="91">
        <v>21</v>
      </c>
      <c r="AG13" s="92"/>
      <c r="AH13" s="91">
        <v>32</v>
      </c>
      <c r="AI13" s="91">
        <v>46</v>
      </c>
      <c r="AJ13" s="90"/>
      <c r="AK13" s="91">
        <v>58</v>
      </c>
      <c r="AL13" s="91">
        <v>76</v>
      </c>
      <c r="AM13" s="93"/>
      <c r="AN13" s="91">
        <v>91</v>
      </c>
      <c r="AO13" s="91">
        <v>101</v>
      </c>
      <c r="AP13" s="93"/>
      <c r="AQ13" s="91"/>
      <c r="AR13" s="91">
        <v>121</v>
      </c>
      <c r="AS13" s="93"/>
      <c r="AT13" s="91">
        <v>134</v>
      </c>
      <c r="AU13" s="91">
        <v>147</v>
      </c>
      <c r="AV13" s="93"/>
      <c r="AW13" s="91">
        <v>159</v>
      </c>
      <c r="AX13" s="91">
        <v>170</v>
      </c>
      <c r="AY13" t="s">
        <v>255</v>
      </c>
    </row>
    <row r="14" spans="1:52" x14ac:dyDescent="0.25">
      <c r="A14" s="12">
        <v>11</v>
      </c>
      <c r="B14" s="45" t="s">
        <v>84</v>
      </c>
      <c r="C14" s="44">
        <v>70</v>
      </c>
      <c r="D14" s="44">
        <v>1</v>
      </c>
      <c r="E14" s="100">
        <v>1</v>
      </c>
      <c r="F14" s="118">
        <v>1</v>
      </c>
      <c r="G14" s="42">
        <v>0</v>
      </c>
      <c r="H14" s="100">
        <f t="shared" si="0"/>
        <v>1</v>
      </c>
      <c r="I14" s="100" t="s">
        <v>264</v>
      </c>
      <c r="J14" s="36"/>
      <c r="K14" s="138"/>
      <c r="L14" s="85">
        <v>11</v>
      </c>
      <c r="M14" s="86" t="s">
        <v>331</v>
      </c>
      <c r="N14" s="86">
        <v>45</v>
      </c>
      <c r="P14" s="99"/>
      <c r="Q14" s="11"/>
      <c r="R14" s="11"/>
      <c r="S14" s="11"/>
      <c r="U14" s="11">
        <v>10</v>
      </c>
      <c r="V14" s="11">
        <v>17</v>
      </c>
      <c r="W14" s="11">
        <v>38</v>
      </c>
      <c r="X14" s="11">
        <v>50</v>
      </c>
      <c r="Y14" s="11">
        <v>0</v>
      </c>
      <c r="AA14" s="15"/>
      <c r="AB14" s="4"/>
      <c r="AC14" s="4"/>
      <c r="AD14" s="3"/>
      <c r="AE14" s="91">
        <v>11</v>
      </c>
      <c r="AF14" s="91">
        <v>22</v>
      </c>
      <c r="AG14" s="92"/>
      <c r="AH14" s="91">
        <v>33</v>
      </c>
      <c r="AI14" s="91">
        <v>47</v>
      </c>
      <c r="AJ14" s="90"/>
      <c r="AK14" s="91">
        <v>59</v>
      </c>
      <c r="AL14" s="91">
        <v>77</v>
      </c>
      <c r="AM14" s="93"/>
      <c r="AN14" s="94"/>
      <c r="AO14" s="91">
        <v>102</v>
      </c>
      <c r="AP14" s="93"/>
      <c r="AQ14" s="91"/>
      <c r="AR14" s="91">
        <v>122</v>
      </c>
      <c r="AS14" s="93"/>
      <c r="AT14" s="91">
        <v>135</v>
      </c>
      <c r="AU14" s="91">
        <v>148</v>
      </c>
      <c r="AV14" s="93"/>
      <c r="AW14" s="91">
        <v>160</v>
      </c>
      <c r="AX14" s="91">
        <v>171</v>
      </c>
      <c r="AY14" t="s">
        <v>256</v>
      </c>
    </row>
    <row r="15" spans="1:52" x14ac:dyDescent="0.25">
      <c r="A15" s="12">
        <v>12</v>
      </c>
      <c r="B15" s="43" t="s">
        <v>85</v>
      </c>
      <c r="C15" s="44">
        <v>24</v>
      </c>
      <c r="D15" s="44">
        <v>0</v>
      </c>
      <c r="E15" s="100">
        <v>1</v>
      </c>
      <c r="F15" s="118">
        <v>1</v>
      </c>
      <c r="G15" s="42">
        <v>0</v>
      </c>
      <c r="H15" s="100">
        <f t="shared" si="0"/>
        <v>0</v>
      </c>
      <c r="I15" s="100">
        <v>0</v>
      </c>
      <c r="J15" s="36"/>
      <c r="K15" s="136" t="s">
        <v>23</v>
      </c>
      <c r="L15" s="85">
        <v>12</v>
      </c>
      <c r="M15" s="86" t="s">
        <v>435</v>
      </c>
      <c r="N15" s="86">
        <v>25</v>
      </c>
      <c r="P15" s="99"/>
      <c r="Q15" s="11"/>
      <c r="R15" s="11"/>
      <c r="S15" s="11"/>
      <c r="U15" s="11">
        <v>11</v>
      </c>
      <c r="V15" s="11">
        <v>39</v>
      </c>
      <c r="W15" s="11">
        <v>119</v>
      </c>
      <c r="X15" s="11">
        <v>100</v>
      </c>
      <c r="Y15" s="11">
        <v>1</v>
      </c>
      <c r="AA15" s="15"/>
      <c r="AB15" s="4"/>
      <c r="AC15" s="4"/>
      <c r="AD15" s="3"/>
      <c r="AE15" s="91"/>
      <c r="AF15" s="91"/>
      <c r="AG15" s="92"/>
      <c r="AH15" s="91">
        <v>34</v>
      </c>
      <c r="AI15" s="91">
        <v>48</v>
      </c>
      <c r="AJ15" s="90"/>
      <c r="AK15" s="91">
        <v>60</v>
      </c>
      <c r="AL15" s="91">
        <v>78</v>
      </c>
      <c r="AM15" s="93"/>
      <c r="AN15" s="94"/>
      <c r="AO15" s="91"/>
      <c r="AP15" s="93"/>
      <c r="AQ15" s="91"/>
      <c r="AR15" s="91">
        <v>123</v>
      </c>
      <c r="AS15" s="93"/>
      <c r="AT15" s="91">
        <v>136</v>
      </c>
      <c r="AU15" s="91">
        <v>149</v>
      </c>
      <c r="AV15" s="93"/>
      <c r="AW15" s="91"/>
      <c r="AX15" s="91"/>
      <c r="AY15" t="s">
        <v>257</v>
      </c>
    </row>
    <row r="16" spans="1:52" ht="15.75" thickBot="1" x14ac:dyDescent="0.3">
      <c r="A16" s="12">
        <v>13</v>
      </c>
      <c r="B16" s="45" t="s">
        <v>86</v>
      </c>
      <c r="C16" s="44">
        <v>26</v>
      </c>
      <c r="D16" s="44">
        <v>0</v>
      </c>
      <c r="E16" s="100">
        <v>1</v>
      </c>
      <c r="F16" s="118">
        <v>1</v>
      </c>
      <c r="G16" s="42">
        <v>0</v>
      </c>
      <c r="H16" s="100">
        <f t="shared" si="0"/>
        <v>0</v>
      </c>
      <c r="I16" s="100">
        <v>0</v>
      </c>
      <c r="J16" s="36"/>
      <c r="K16" s="137"/>
      <c r="L16" s="87">
        <v>13</v>
      </c>
      <c r="M16" s="87" t="s">
        <v>436</v>
      </c>
      <c r="N16" s="86">
        <v>25</v>
      </c>
      <c r="P16" s="99"/>
      <c r="Q16" s="11"/>
      <c r="R16" s="11"/>
      <c r="S16" s="11"/>
      <c r="U16" s="11">
        <v>12</v>
      </c>
      <c r="V16" s="11">
        <v>47</v>
      </c>
      <c r="W16" s="11">
        <v>94</v>
      </c>
      <c r="X16" s="11">
        <v>50</v>
      </c>
      <c r="Y16" s="11">
        <v>1</v>
      </c>
      <c r="AA16" s="15"/>
      <c r="AB16" s="4"/>
      <c r="AC16" s="4"/>
      <c r="AD16" s="3"/>
      <c r="AE16" s="91"/>
      <c r="AF16" s="91"/>
      <c r="AG16" s="92"/>
      <c r="AH16" s="91">
        <v>35</v>
      </c>
      <c r="AI16" s="91"/>
      <c r="AJ16" s="90"/>
      <c r="AK16" s="91">
        <v>61</v>
      </c>
      <c r="AL16" s="91">
        <v>79</v>
      </c>
      <c r="AM16" s="93"/>
      <c r="AN16" s="94"/>
      <c r="AO16" s="91"/>
      <c r="AP16" s="93"/>
      <c r="AQ16" s="91"/>
      <c r="AR16" s="91">
        <v>124</v>
      </c>
      <c r="AS16" s="93"/>
      <c r="AT16" s="91">
        <v>137</v>
      </c>
      <c r="AU16" s="91"/>
      <c r="AV16" s="93"/>
      <c r="AW16" s="91"/>
      <c r="AX16" s="91"/>
      <c r="AY16" t="s">
        <v>258</v>
      </c>
    </row>
    <row r="17" spans="1:50" x14ac:dyDescent="0.25">
      <c r="A17" s="12">
        <v>14</v>
      </c>
      <c r="B17" s="43" t="s">
        <v>87</v>
      </c>
      <c r="C17" s="44">
        <v>26</v>
      </c>
      <c r="D17" s="44">
        <v>0</v>
      </c>
      <c r="E17" s="100">
        <v>1</v>
      </c>
      <c r="F17" s="118">
        <v>1</v>
      </c>
      <c r="G17" s="42">
        <v>0</v>
      </c>
      <c r="H17" s="100">
        <f t="shared" si="0"/>
        <v>0</v>
      </c>
      <c r="I17" s="100">
        <v>0</v>
      </c>
      <c r="J17" s="36"/>
      <c r="K17" s="137"/>
      <c r="L17" s="88">
        <v>14</v>
      </c>
      <c r="M17" s="88" t="s">
        <v>437</v>
      </c>
      <c r="N17" s="86">
        <v>25</v>
      </c>
      <c r="P17" s="99"/>
      <c r="Q17" s="11"/>
      <c r="R17" s="11"/>
      <c r="S17" s="11"/>
      <c r="U17" s="11"/>
      <c r="V17" s="11"/>
      <c r="W17" s="11"/>
      <c r="X17" s="11"/>
      <c r="Y17" s="11"/>
      <c r="AA17" s="15"/>
      <c r="AB17" s="4"/>
      <c r="AC17" s="4"/>
      <c r="AD17" s="3"/>
      <c r="AE17" s="91"/>
      <c r="AF17" s="91"/>
      <c r="AG17" s="92"/>
      <c r="AH17" s="91">
        <v>36</v>
      </c>
      <c r="AI17" s="91"/>
      <c r="AJ17" s="90"/>
      <c r="AK17" s="91">
        <v>62</v>
      </c>
      <c r="AL17" s="91">
        <v>80</v>
      </c>
      <c r="AM17" s="93"/>
      <c r="AN17" s="94"/>
      <c r="AO17" s="91"/>
      <c r="AP17" s="93"/>
      <c r="AQ17" s="91"/>
      <c r="AR17" s="91"/>
      <c r="AS17" s="93"/>
      <c r="AT17" s="91"/>
      <c r="AU17" s="91"/>
      <c r="AV17" s="93"/>
      <c r="AW17" s="91"/>
      <c r="AX17" s="91"/>
    </row>
    <row r="18" spans="1:50" ht="15.75" thickBot="1" x14ac:dyDescent="0.3">
      <c r="A18" s="12">
        <v>15</v>
      </c>
      <c r="B18" s="45" t="s">
        <v>88</v>
      </c>
      <c r="C18" s="44">
        <v>25</v>
      </c>
      <c r="D18" s="44">
        <v>0</v>
      </c>
      <c r="E18" s="100">
        <v>1</v>
      </c>
      <c r="F18" s="118">
        <v>1</v>
      </c>
      <c r="G18" s="42">
        <v>0</v>
      </c>
      <c r="H18" s="100">
        <f t="shared" si="0"/>
        <v>0</v>
      </c>
      <c r="I18" s="100">
        <v>0</v>
      </c>
      <c r="J18" s="36"/>
      <c r="K18" s="138"/>
      <c r="L18" s="87">
        <v>15</v>
      </c>
      <c r="M18" s="87" t="s">
        <v>438</v>
      </c>
      <c r="N18" s="86">
        <v>25</v>
      </c>
      <c r="P18" s="99"/>
      <c r="Q18" s="11"/>
      <c r="R18" s="11"/>
      <c r="S18" s="11"/>
      <c r="U18" s="11"/>
      <c r="V18" s="11"/>
      <c r="W18" s="11"/>
      <c r="X18" s="11"/>
      <c r="Y18" s="11"/>
      <c r="AA18" s="15"/>
      <c r="AB18" s="4"/>
      <c r="AC18" s="4"/>
      <c r="AD18" s="3"/>
      <c r="AE18" s="95"/>
      <c r="AF18" s="91"/>
      <c r="AG18" s="92"/>
      <c r="AH18" s="94"/>
      <c r="AI18" s="91"/>
      <c r="AJ18" s="90"/>
      <c r="AK18" s="91">
        <v>63</v>
      </c>
      <c r="AL18" s="91">
        <v>81</v>
      </c>
      <c r="AM18" s="93"/>
      <c r="AN18" s="94"/>
      <c r="AO18" s="91"/>
      <c r="AP18" s="93"/>
      <c r="AQ18" s="91"/>
      <c r="AR18" s="91"/>
      <c r="AS18" s="93"/>
      <c r="AT18" s="91"/>
      <c r="AU18" s="91"/>
      <c r="AV18" s="93"/>
      <c r="AW18" s="91"/>
      <c r="AX18" s="91"/>
    </row>
    <row r="19" spans="1:50" x14ac:dyDescent="0.25">
      <c r="A19" s="12">
        <v>16</v>
      </c>
      <c r="B19" s="43" t="s">
        <v>89</v>
      </c>
      <c r="C19" s="44">
        <v>24</v>
      </c>
      <c r="D19" s="44">
        <v>0</v>
      </c>
      <c r="E19" s="100">
        <v>1</v>
      </c>
      <c r="F19" s="118">
        <v>1</v>
      </c>
      <c r="G19" s="42">
        <v>0</v>
      </c>
      <c r="H19" s="100">
        <f t="shared" si="0"/>
        <v>0</v>
      </c>
      <c r="I19" s="100">
        <v>0</v>
      </c>
      <c r="J19" s="36"/>
      <c r="P19" s="99"/>
      <c r="Q19" s="11"/>
      <c r="R19" s="11"/>
      <c r="S19" s="11"/>
      <c r="U19" s="11"/>
      <c r="V19" s="11"/>
      <c r="W19" s="11"/>
      <c r="X19" s="11"/>
      <c r="Y19" s="11"/>
      <c r="AA19" s="15"/>
      <c r="AB19" s="4"/>
      <c r="AC19" s="4"/>
      <c r="AD19" s="3"/>
      <c r="AE19" s="95"/>
      <c r="AF19" s="91"/>
      <c r="AG19" s="92"/>
      <c r="AH19" s="95"/>
      <c r="AI19" s="91"/>
      <c r="AJ19" s="90"/>
      <c r="AK19" s="91">
        <v>64</v>
      </c>
      <c r="AL19" s="91"/>
      <c r="AM19" s="93"/>
      <c r="AN19" s="95"/>
      <c r="AO19" s="91"/>
      <c r="AP19" s="93"/>
      <c r="AQ19" s="95"/>
      <c r="AR19" s="91"/>
      <c r="AS19" s="93"/>
      <c r="AT19" s="91"/>
      <c r="AU19" s="91"/>
      <c r="AV19" s="93"/>
      <c r="AW19" s="95"/>
      <c r="AX19" s="91"/>
    </row>
    <row r="20" spans="1:50" x14ac:dyDescent="0.25">
      <c r="A20" s="12">
        <v>17</v>
      </c>
      <c r="B20" s="45" t="s">
        <v>90</v>
      </c>
      <c r="C20" s="44">
        <v>29</v>
      </c>
      <c r="D20" s="44">
        <v>0</v>
      </c>
      <c r="E20" s="100">
        <v>1</v>
      </c>
      <c r="F20" s="118">
        <v>1</v>
      </c>
      <c r="G20" s="42">
        <v>0</v>
      </c>
      <c r="H20" s="100">
        <f t="shared" si="0"/>
        <v>0</v>
      </c>
      <c r="I20" s="100">
        <v>0</v>
      </c>
      <c r="J20" s="36"/>
      <c r="P20" s="99"/>
      <c r="Q20" s="11"/>
      <c r="R20" s="11"/>
      <c r="S20" s="11"/>
      <c r="U20" s="11"/>
      <c r="V20" s="11"/>
      <c r="W20" s="11"/>
      <c r="X20" s="11"/>
      <c r="Y20" s="11"/>
      <c r="AA20" s="15"/>
      <c r="AB20" s="4"/>
      <c r="AC20" s="4"/>
      <c r="AD20" s="3"/>
      <c r="AE20" s="95"/>
      <c r="AF20" s="91"/>
      <c r="AG20" s="92"/>
      <c r="AH20" s="95"/>
      <c r="AI20" s="91"/>
      <c r="AJ20" s="90"/>
      <c r="AK20" s="91">
        <v>65</v>
      </c>
      <c r="AL20" s="91"/>
      <c r="AM20" s="93"/>
      <c r="AN20" s="95"/>
      <c r="AO20" s="91"/>
      <c r="AP20" s="93"/>
      <c r="AQ20" s="95"/>
      <c r="AR20" s="91"/>
      <c r="AS20" s="93"/>
      <c r="AT20" s="91"/>
      <c r="AU20" s="91"/>
      <c r="AV20" s="93"/>
      <c r="AW20" s="95"/>
      <c r="AX20" s="91"/>
    </row>
    <row r="21" spans="1:50" x14ac:dyDescent="0.25">
      <c r="A21" s="12">
        <v>18</v>
      </c>
      <c r="B21" s="45" t="s">
        <v>91</v>
      </c>
      <c r="C21" s="44">
        <v>13</v>
      </c>
      <c r="D21" s="44">
        <v>0</v>
      </c>
      <c r="E21" s="100">
        <v>1</v>
      </c>
      <c r="F21" s="118">
        <v>1</v>
      </c>
      <c r="G21" s="42">
        <v>0</v>
      </c>
      <c r="H21" s="100">
        <f t="shared" si="0"/>
        <v>0</v>
      </c>
      <c r="I21" s="100">
        <v>0</v>
      </c>
      <c r="J21" s="36"/>
      <c r="K21" s="30" t="s">
        <v>69</v>
      </c>
      <c r="L21" s="32" t="s">
        <v>70</v>
      </c>
      <c r="P21" s="99"/>
      <c r="Q21" s="11"/>
      <c r="R21" s="11"/>
      <c r="S21" s="11"/>
      <c r="U21" s="11"/>
      <c r="V21" s="11"/>
      <c r="W21" s="11"/>
      <c r="X21" s="11"/>
      <c r="Y21" s="11"/>
      <c r="AA21" s="15"/>
      <c r="AB21" s="4"/>
      <c r="AC21" s="4"/>
      <c r="AD21" s="3"/>
      <c r="AE21" s="95"/>
      <c r="AF21" s="91"/>
      <c r="AG21" s="92"/>
      <c r="AH21" s="95"/>
      <c r="AI21" s="91"/>
      <c r="AJ21" s="90"/>
      <c r="AK21" s="91">
        <v>66</v>
      </c>
      <c r="AL21" s="91"/>
      <c r="AM21" s="93"/>
      <c r="AN21" s="95"/>
      <c r="AO21" s="91"/>
      <c r="AP21" s="93"/>
      <c r="AQ21" s="95"/>
      <c r="AR21" s="91"/>
      <c r="AS21" s="93"/>
      <c r="AT21" s="91"/>
      <c r="AU21" s="91"/>
      <c r="AV21" s="93"/>
      <c r="AW21" s="95"/>
      <c r="AX21" s="91"/>
    </row>
    <row r="22" spans="1:50" x14ac:dyDescent="0.25">
      <c r="A22" s="12">
        <v>19</v>
      </c>
      <c r="B22" s="43" t="s">
        <v>92</v>
      </c>
      <c r="C22" s="44">
        <v>19</v>
      </c>
      <c r="D22" s="44">
        <v>0</v>
      </c>
      <c r="E22" s="100">
        <v>1</v>
      </c>
      <c r="F22" s="118">
        <v>1</v>
      </c>
      <c r="G22" s="42">
        <v>0</v>
      </c>
      <c r="H22" s="100">
        <f t="shared" si="0"/>
        <v>0</v>
      </c>
      <c r="I22" s="100">
        <v>0</v>
      </c>
      <c r="J22" s="36"/>
      <c r="K22" s="89">
        <v>1</v>
      </c>
      <c r="L22" s="89">
        <v>1</v>
      </c>
      <c r="P22" s="99"/>
      <c r="Q22" s="11"/>
      <c r="R22" s="11"/>
      <c r="S22" s="11"/>
      <c r="U22" s="11"/>
      <c r="V22" s="11"/>
      <c r="W22" s="11"/>
      <c r="X22" s="11"/>
      <c r="Y22" s="11"/>
      <c r="AA22" s="15"/>
      <c r="AB22" s="4"/>
      <c r="AC22" s="4"/>
      <c r="AD22" s="3"/>
      <c r="AE22" s="95"/>
      <c r="AF22" s="91"/>
      <c r="AG22" s="92"/>
      <c r="AH22" s="95"/>
      <c r="AI22" s="91"/>
      <c r="AJ22" s="90"/>
      <c r="AK22" s="91"/>
      <c r="AL22" s="91"/>
      <c r="AM22" s="93"/>
      <c r="AN22" s="95"/>
      <c r="AO22" s="91"/>
      <c r="AP22" s="93"/>
      <c r="AQ22" s="95"/>
      <c r="AR22" s="91"/>
      <c r="AS22" s="93"/>
      <c r="AT22" s="91"/>
      <c r="AU22" s="91"/>
      <c r="AV22" s="93"/>
      <c r="AW22" s="95"/>
      <c r="AX22" s="91"/>
    </row>
    <row r="23" spans="1:50" x14ac:dyDescent="0.25">
      <c r="A23" s="12">
        <v>20</v>
      </c>
      <c r="B23" s="43" t="s">
        <v>93</v>
      </c>
      <c r="C23" s="44">
        <v>30</v>
      </c>
      <c r="D23" s="44">
        <v>0</v>
      </c>
      <c r="E23" s="100">
        <v>1</v>
      </c>
      <c r="F23" s="118">
        <v>1</v>
      </c>
      <c r="G23" s="42">
        <v>0</v>
      </c>
      <c r="H23" s="100">
        <f t="shared" si="0"/>
        <v>0</v>
      </c>
      <c r="I23" s="100">
        <v>0</v>
      </c>
      <c r="J23" s="36"/>
      <c r="K23" s="89">
        <v>2</v>
      </c>
      <c r="L23" s="89">
        <v>2</v>
      </c>
      <c r="P23" s="99"/>
      <c r="Q23" s="11"/>
      <c r="R23" s="11"/>
      <c r="S23" s="11"/>
      <c r="U23" s="11"/>
      <c r="V23" s="11"/>
      <c r="W23" s="11"/>
      <c r="X23" s="11"/>
      <c r="Y23" s="11"/>
      <c r="AA23" s="15"/>
      <c r="AB23" s="4"/>
      <c r="AC23" s="4"/>
      <c r="AD23" s="3"/>
      <c r="AE23" s="95"/>
      <c r="AF23" s="91"/>
      <c r="AG23" s="92"/>
      <c r="AH23" s="95"/>
      <c r="AI23" s="91"/>
      <c r="AJ23" s="90"/>
      <c r="AK23" s="95"/>
      <c r="AL23" s="91"/>
      <c r="AM23" s="93"/>
      <c r="AN23" s="95"/>
      <c r="AO23" s="91"/>
      <c r="AP23" s="93"/>
      <c r="AQ23" s="95"/>
      <c r="AR23" s="91"/>
      <c r="AS23" s="93"/>
      <c r="AT23" s="91"/>
      <c r="AU23" s="91"/>
      <c r="AV23" s="93"/>
      <c r="AW23" s="95"/>
      <c r="AX23" s="91"/>
    </row>
    <row r="24" spans="1:50" ht="17.25" customHeight="1" x14ac:dyDescent="0.25">
      <c r="A24" s="12">
        <v>21</v>
      </c>
      <c r="B24" s="45" t="s">
        <v>94</v>
      </c>
      <c r="C24" s="44">
        <v>12</v>
      </c>
      <c r="D24" s="44">
        <v>0</v>
      </c>
      <c r="E24" s="100">
        <v>1</v>
      </c>
      <c r="F24" s="118">
        <v>1</v>
      </c>
      <c r="G24" s="42">
        <v>0</v>
      </c>
      <c r="H24" s="100">
        <f t="shared" si="0"/>
        <v>0</v>
      </c>
      <c r="I24" s="100">
        <v>0</v>
      </c>
      <c r="J24" s="36"/>
      <c r="K24" s="89">
        <v>3</v>
      </c>
      <c r="L24" s="89">
        <v>3</v>
      </c>
      <c r="P24" s="99"/>
      <c r="Q24" s="11"/>
      <c r="R24" s="11"/>
      <c r="S24" s="11"/>
      <c r="U24" s="11"/>
      <c r="V24" s="11"/>
      <c r="W24" s="11"/>
      <c r="X24" s="11"/>
      <c r="Y24" s="11"/>
      <c r="AA24" s="15"/>
      <c r="AB24" s="4"/>
      <c r="AC24" s="4"/>
      <c r="AD24" s="3"/>
      <c r="AE24" s="95"/>
      <c r="AF24" s="91"/>
      <c r="AG24" s="92"/>
      <c r="AH24" s="95"/>
      <c r="AI24" s="91"/>
      <c r="AJ24" s="90"/>
      <c r="AK24" s="95"/>
      <c r="AL24" s="91"/>
      <c r="AM24" s="93"/>
      <c r="AN24" s="95"/>
      <c r="AO24" s="91"/>
      <c r="AP24" s="93"/>
      <c r="AQ24" s="95"/>
      <c r="AR24" s="91"/>
      <c r="AS24" s="93"/>
      <c r="AT24" s="91"/>
      <c r="AU24" s="91"/>
      <c r="AV24" s="93"/>
      <c r="AW24" s="95"/>
      <c r="AX24" s="91"/>
    </row>
    <row r="25" spans="1:50" x14ac:dyDescent="0.25">
      <c r="A25" s="12">
        <v>22</v>
      </c>
      <c r="B25" s="48" t="s">
        <v>95</v>
      </c>
      <c r="C25" s="44">
        <v>19</v>
      </c>
      <c r="D25" s="44">
        <v>0</v>
      </c>
      <c r="E25" s="100">
        <v>1</v>
      </c>
      <c r="F25" s="118">
        <v>1</v>
      </c>
      <c r="G25" s="42">
        <v>0</v>
      </c>
      <c r="H25" s="100">
        <f t="shared" si="0"/>
        <v>0</v>
      </c>
      <c r="I25" s="100">
        <v>0</v>
      </c>
      <c r="J25" s="36"/>
      <c r="K25" s="89">
        <v>4</v>
      </c>
      <c r="L25" s="89">
        <v>4</v>
      </c>
      <c r="P25" s="99"/>
      <c r="Q25" s="11"/>
      <c r="R25" s="11"/>
      <c r="S25" s="11"/>
      <c r="U25" s="11"/>
      <c r="V25" s="11"/>
      <c r="W25" s="11"/>
      <c r="X25" s="11"/>
      <c r="Y25" s="11"/>
      <c r="AA25" s="15"/>
      <c r="AB25" s="4"/>
      <c r="AC25" s="4"/>
      <c r="AD25" s="3"/>
      <c r="AF25" s="3"/>
      <c r="AI25" s="3"/>
      <c r="AL25" s="3"/>
      <c r="AO25" s="3"/>
      <c r="AR25" s="3"/>
      <c r="AT25" s="3"/>
      <c r="AU25" s="3"/>
      <c r="AX25" s="3"/>
    </row>
    <row r="26" spans="1:50" x14ac:dyDescent="0.25">
      <c r="A26" s="12">
        <v>23</v>
      </c>
      <c r="B26" s="49" t="s">
        <v>96</v>
      </c>
      <c r="C26" s="50">
        <v>76</v>
      </c>
      <c r="D26" s="50">
        <v>1</v>
      </c>
      <c r="E26" s="100">
        <v>1</v>
      </c>
      <c r="F26" s="118">
        <v>1</v>
      </c>
      <c r="G26" s="42">
        <v>0</v>
      </c>
      <c r="H26" s="100">
        <f t="shared" si="0"/>
        <v>1</v>
      </c>
      <c r="I26" s="100">
        <v>0</v>
      </c>
      <c r="J26" s="36"/>
      <c r="K26" s="89">
        <v>5</v>
      </c>
      <c r="L26" s="89">
        <v>5</v>
      </c>
      <c r="P26" s="99"/>
      <c r="Q26" s="11"/>
      <c r="R26" s="11"/>
      <c r="S26" s="11"/>
      <c r="U26" s="11"/>
      <c r="V26" s="11"/>
      <c r="W26" s="11"/>
      <c r="X26" s="11"/>
      <c r="Y26" s="11"/>
      <c r="AA26" s="15"/>
      <c r="AB26" s="4"/>
      <c r="AC26" s="4"/>
      <c r="AD26" s="3"/>
      <c r="AF26" s="3"/>
      <c r="AI26" s="3"/>
      <c r="AL26" s="3"/>
      <c r="AO26" s="3"/>
      <c r="AR26" s="3"/>
      <c r="AT26" s="3"/>
      <c r="AU26" s="3"/>
      <c r="AX26" s="3"/>
    </row>
    <row r="27" spans="1:50" x14ac:dyDescent="0.25">
      <c r="A27" s="12">
        <v>24</v>
      </c>
      <c r="B27" s="51" t="s">
        <v>97</v>
      </c>
      <c r="C27" s="50">
        <v>70</v>
      </c>
      <c r="D27" s="50">
        <v>1</v>
      </c>
      <c r="E27" s="100">
        <v>1</v>
      </c>
      <c r="F27" s="118">
        <v>1</v>
      </c>
      <c r="G27" s="42">
        <v>0</v>
      </c>
      <c r="H27" s="100">
        <f t="shared" si="0"/>
        <v>1</v>
      </c>
      <c r="I27" s="100">
        <v>0</v>
      </c>
      <c r="J27" s="36"/>
      <c r="K27" s="89">
        <v>6</v>
      </c>
      <c r="L27" s="89">
        <v>6</v>
      </c>
      <c r="P27" s="99"/>
      <c r="Q27" s="11"/>
      <c r="R27" s="11"/>
      <c r="S27" s="11"/>
      <c r="U27" s="11"/>
      <c r="V27" s="11"/>
      <c r="W27" s="11"/>
      <c r="X27" s="11"/>
      <c r="Y27" s="11"/>
      <c r="AA27" s="15"/>
      <c r="AB27" s="4"/>
      <c r="AC27" s="4"/>
      <c r="AD27" s="3"/>
      <c r="AF27" s="3"/>
      <c r="AI27" s="3"/>
      <c r="AL27" s="3"/>
      <c r="AO27" s="3"/>
      <c r="AR27" s="3"/>
      <c r="AT27" s="3"/>
      <c r="AU27" s="3"/>
      <c r="AX27" s="3"/>
    </row>
    <row r="28" spans="1:50" x14ac:dyDescent="0.25">
      <c r="A28" s="12">
        <v>25</v>
      </c>
      <c r="B28" s="49" t="s">
        <v>98</v>
      </c>
      <c r="C28" s="50">
        <v>91</v>
      </c>
      <c r="D28" s="50">
        <v>1</v>
      </c>
      <c r="E28" s="100">
        <v>1</v>
      </c>
      <c r="F28" s="118">
        <v>1</v>
      </c>
      <c r="G28" s="42">
        <v>0</v>
      </c>
      <c r="H28" s="100">
        <f t="shared" si="0"/>
        <v>1</v>
      </c>
      <c r="I28" s="100">
        <v>0</v>
      </c>
      <c r="J28" s="36"/>
      <c r="K28" s="89">
        <v>7</v>
      </c>
      <c r="L28" s="89">
        <v>7</v>
      </c>
      <c r="P28" s="99"/>
      <c r="Q28" s="11"/>
      <c r="R28" s="11"/>
      <c r="S28" s="11"/>
      <c r="U28" s="11"/>
      <c r="V28" s="11"/>
      <c r="W28" s="11"/>
      <c r="X28" s="11"/>
      <c r="Y28" s="11"/>
      <c r="AA28" s="15"/>
      <c r="AB28" s="4"/>
      <c r="AC28" s="4"/>
      <c r="AD28" s="3"/>
      <c r="AF28" s="3"/>
      <c r="AI28" s="3"/>
      <c r="AL28" s="3"/>
      <c r="AN28" s="3"/>
      <c r="AO28" s="3"/>
      <c r="AR28" s="3"/>
      <c r="AT28" s="3"/>
      <c r="AU28" s="3"/>
      <c r="AX28" s="3"/>
    </row>
    <row r="29" spans="1:50" x14ac:dyDescent="0.25">
      <c r="A29" s="12">
        <v>26</v>
      </c>
      <c r="B29" s="51" t="s">
        <v>99</v>
      </c>
      <c r="C29" s="50">
        <v>75</v>
      </c>
      <c r="D29" s="50">
        <v>1</v>
      </c>
      <c r="E29" s="100">
        <v>1</v>
      </c>
      <c r="F29" s="118">
        <v>1</v>
      </c>
      <c r="G29" s="42">
        <v>0</v>
      </c>
      <c r="H29" s="100">
        <f t="shared" si="0"/>
        <v>1</v>
      </c>
      <c r="I29" s="100">
        <v>0</v>
      </c>
      <c r="J29" s="36"/>
      <c r="K29" s="89">
        <v>8</v>
      </c>
      <c r="L29" s="89"/>
      <c r="P29" s="99"/>
      <c r="Q29" s="11"/>
      <c r="R29" s="11"/>
      <c r="S29" s="11"/>
      <c r="U29" s="11"/>
      <c r="V29" s="11"/>
      <c r="W29" s="11"/>
      <c r="X29" s="11"/>
      <c r="Y29" s="11"/>
      <c r="AA29" s="15"/>
      <c r="AB29" s="4"/>
      <c r="AC29" s="4"/>
      <c r="AD29" s="3"/>
      <c r="AF29" s="3"/>
      <c r="AI29" s="3"/>
      <c r="AL29" s="3"/>
      <c r="AN29" s="3"/>
      <c r="AO29" s="3"/>
      <c r="AR29" s="3"/>
      <c r="AT29" s="3"/>
      <c r="AU29" s="3"/>
      <c r="AX29" s="3"/>
    </row>
    <row r="30" spans="1:50" x14ac:dyDescent="0.25">
      <c r="A30" s="12">
        <v>27</v>
      </c>
      <c r="B30" s="49" t="s">
        <v>100</v>
      </c>
      <c r="C30" s="50">
        <v>69</v>
      </c>
      <c r="D30" s="50">
        <v>1</v>
      </c>
      <c r="E30" s="100">
        <v>1</v>
      </c>
      <c r="F30" s="118">
        <v>1</v>
      </c>
      <c r="G30" s="42">
        <v>0</v>
      </c>
      <c r="H30" s="100">
        <f t="shared" si="0"/>
        <v>1</v>
      </c>
      <c r="I30" s="100">
        <v>0</v>
      </c>
      <c r="J30" s="36"/>
      <c r="K30" s="89"/>
      <c r="L30" s="89"/>
      <c r="P30" s="99"/>
      <c r="Q30" s="11"/>
      <c r="R30" s="11"/>
      <c r="S30" s="11"/>
      <c r="U30" s="11"/>
      <c r="V30" s="11"/>
      <c r="W30" s="11"/>
      <c r="X30" s="11"/>
      <c r="Y30" s="11"/>
      <c r="Z30" s="3"/>
      <c r="AA30" s="15"/>
      <c r="AB30" s="4"/>
      <c r="AC30" s="4"/>
      <c r="AD30" s="3"/>
      <c r="AF30" s="3"/>
      <c r="AI30" s="3"/>
      <c r="AL30" s="3"/>
      <c r="AN30" s="3"/>
      <c r="AO30" s="3"/>
      <c r="AQ30" s="3"/>
      <c r="AR30" s="3"/>
      <c r="AT30" s="3"/>
      <c r="AU30" s="3"/>
      <c r="AW30" s="3"/>
      <c r="AX30" s="3"/>
    </row>
    <row r="31" spans="1:50" x14ac:dyDescent="0.25">
      <c r="A31" s="12">
        <v>28</v>
      </c>
      <c r="B31" s="51" t="s">
        <v>101</v>
      </c>
      <c r="C31" s="50">
        <v>67</v>
      </c>
      <c r="D31" s="50">
        <v>1</v>
      </c>
      <c r="E31" s="100">
        <v>1</v>
      </c>
      <c r="F31" s="118">
        <v>1</v>
      </c>
      <c r="G31" s="42">
        <v>0</v>
      </c>
      <c r="H31" s="100">
        <f t="shared" si="0"/>
        <v>1</v>
      </c>
      <c r="I31" s="100">
        <v>0</v>
      </c>
      <c r="J31" s="36"/>
      <c r="K31" s="89"/>
      <c r="L31" s="89"/>
      <c r="P31" s="99"/>
      <c r="Q31" s="11"/>
      <c r="R31" s="11"/>
      <c r="S31" s="11"/>
      <c r="U31" s="11"/>
      <c r="V31" s="11"/>
      <c r="W31" s="11"/>
      <c r="X31" s="11"/>
      <c r="Y31" s="11"/>
      <c r="Z31" s="3"/>
      <c r="AA31" s="15"/>
      <c r="AB31" s="4"/>
      <c r="AC31" s="4"/>
      <c r="AD31" s="3"/>
      <c r="AF31" s="3"/>
      <c r="AI31" s="3"/>
      <c r="AL31" s="3"/>
      <c r="AN31" s="3"/>
      <c r="AO31" s="3"/>
      <c r="AQ31" s="3"/>
      <c r="AR31" s="3"/>
      <c r="AT31" s="3"/>
      <c r="AU31" s="3"/>
      <c r="AW31" s="3"/>
      <c r="AX31" s="3"/>
    </row>
    <row r="32" spans="1:50" x14ac:dyDescent="0.25">
      <c r="A32" s="12">
        <v>29</v>
      </c>
      <c r="B32" s="49" t="s">
        <v>102</v>
      </c>
      <c r="C32" s="50">
        <v>39</v>
      </c>
      <c r="D32" s="50">
        <v>0</v>
      </c>
      <c r="E32" s="100">
        <v>1</v>
      </c>
      <c r="F32" s="118">
        <v>1</v>
      </c>
      <c r="G32" s="42">
        <v>0</v>
      </c>
      <c r="H32" s="100">
        <f t="shared" si="0"/>
        <v>0</v>
      </c>
      <c r="I32" s="100">
        <v>0</v>
      </c>
      <c r="J32" s="36"/>
      <c r="K32" s="90"/>
      <c r="L32" s="89"/>
      <c r="P32" s="99"/>
      <c r="Q32" s="11"/>
      <c r="R32" s="11"/>
      <c r="S32" s="11"/>
      <c r="U32" s="11"/>
      <c r="V32" s="11"/>
      <c r="W32" s="11"/>
      <c r="X32" s="11"/>
      <c r="Y32" s="11"/>
      <c r="Z32" s="3"/>
      <c r="AA32" s="15"/>
      <c r="AB32" s="4"/>
      <c r="AC32" s="4"/>
      <c r="AD32" s="3"/>
      <c r="AE32" s="3"/>
      <c r="AF32" s="3"/>
      <c r="AH32" s="3"/>
      <c r="AI32" s="3"/>
      <c r="AL32" s="3"/>
      <c r="AN32" s="3"/>
      <c r="AO32" s="3"/>
      <c r="AQ32" s="3"/>
      <c r="AR32" s="3"/>
      <c r="AT32" s="3"/>
      <c r="AU32" s="3"/>
      <c r="AW32" s="3"/>
      <c r="AX32" s="3"/>
    </row>
    <row r="33" spans="1:50" x14ac:dyDescent="0.25">
      <c r="A33" s="12">
        <v>30</v>
      </c>
      <c r="B33" s="51" t="s">
        <v>103</v>
      </c>
      <c r="C33" s="50">
        <v>32</v>
      </c>
      <c r="D33" s="50">
        <v>0</v>
      </c>
      <c r="E33" s="100">
        <v>1</v>
      </c>
      <c r="F33" s="118">
        <v>1</v>
      </c>
      <c r="G33" s="42">
        <v>0</v>
      </c>
      <c r="H33" s="100">
        <f t="shared" si="0"/>
        <v>0</v>
      </c>
      <c r="I33" s="100">
        <v>0</v>
      </c>
      <c r="J33" s="36"/>
      <c r="K33" s="90"/>
      <c r="L33" s="89"/>
      <c r="P33" s="99"/>
      <c r="Q33" s="11"/>
      <c r="R33" s="11"/>
      <c r="S33" s="11"/>
      <c r="U33" s="11"/>
      <c r="V33" s="11"/>
      <c r="W33" s="11"/>
      <c r="X33" s="11"/>
      <c r="Y33" s="11"/>
      <c r="Z33" s="3"/>
      <c r="AA33" s="15"/>
      <c r="AB33" s="4"/>
      <c r="AC33" s="4"/>
      <c r="AD33" s="3"/>
      <c r="AE33" s="3"/>
      <c r="AF33" s="3"/>
      <c r="AH33" s="3"/>
      <c r="AI33" s="3"/>
      <c r="AL33" s="3"/>
      <c r="AN33" s="3"/>
      <c r="AO33" s="3"/>
      <c r="AQ33" s="3"/>
      <c r="AR33" s="3"/>
      <c r="AT33" s="3"/>
      <c r="AU33" s="3"/>
      <c r="AW33" s="3"/>
      <c r="AX33" s="3"/>
    </row>
    <row r="34" spans="1:50" x14ac:dyDescent="0.25">
      <c r="A34" s="12">
        <v>31</v>
      </c>
      <c r="B34" s="49" t="s">
        <v>104</v>
      </c>
      <c r="C34" s="50">
        <v>68</v>
      </c>
      <c r="D34" s="50">
        <v>1</v>
      </c>
      <c r="E34" s="100">
        <v>1</v>
      </c>
      <c r="F34" s="118">
        <v>1</v>
      </c>
      <c r="G34" s="42">
        <v>0</v>
      </c>
      <c r="H34" s="100">
        <f t="shared" si="0"/>
        <v>1</v>
      </c>
      <c r="I34" s="100" t="s">
        <v>266</v>
      </c>
      <c r="J34" s="36"/>
      <c r="K34" s="90"/>
      <c r="L34" s="89"/>
      <c r="P34" s="99"/>
      <c r="Q34" s="11"/>
      <c r="R34" s="11"/>
      <c r="S34" s="11"/>
      <c r="U34" s="11"/>
      <c r="V34" s="11"/>
      <c r="W34" s="11"/>
      <c r="X34" s="11"/>
      <c r="Y34" s="11"/>
      <c r="Z34" s="3"/>
      <c r="AA34" s="15"/>
      <c r="AB34" s="4"/>
      <c r="AC34" s="4"/>
      <c r="AD34" s="3"/>
      <c r="AE34" s="3"/>
      <c r="AF34" s="3"/>
      <c r="AH34" s="3"/>
      <c r="AI34" s="3"/>
      <c r="AL34" s="3"/>
      <c r="AN34" s="3"/>
      <c r="AO34" s="3"/>
      <c r="AQ34" s="3"/>
      <c r="AR34" s="3"/>
      <c r="AT34" s="3"/>
      <c r="AU34" s="3"/>
      <c r="AW34" s="3"/>
      <c r="AX34" s="3"/>
    </row>
    <row r="35" spans="1:50" x14ac:dyDescent="0.25">
      <c r="A35" s="12">
        <v>32</v>
      </c>
      <c r="B35" s="49" t="s">
        <v>105</v>
      </c>
      <c r="C35" s="50">
        <v>74</v>
      </c>
      <c r="D35" s="50">
        <v>1</v>
      </c>
      <c r="E35" s="100">
        <v>1</v>
      </c>
      <c r="F35" s="118">
        <v>1</v>
      </c>
      <c r="G35" s="42">
        <v>0</v>
      </c>
      <c r="H35" s="100">
        <f t="shared" si="0"/>
        <v>1</v>
      </c>
      <c r="I35" s="100" t="s">
        <v>264</v>
      </c>
      <c r="J35" s="36"/>
      <c r="K35" s="3"/>
      <c r="L35" s="89"/>
      <c r="P35" s="99"/>
      <c r="Q35" s="11"/>
      <c r="R35" s="11"/>
      <c r="S35" s="11"/>
      <c r="U35" s="11"/>
      <c r="V35" s="11"/>
      <c r="W35" s="11"/>
      <c r="X35" s="11"/>
      <c r="Y35" s="11"/>
      <c r="Z35" s="3"/>
      <c r="AA35" s="15"/>
      <c r="AB35" s="4"/>
      <c r="AC35" s="4"/>
      <c r="AD35" s="3"/>
      <c r="AE35" s="3"/>
      <c r="AF35" s="3"/>
      <c r="AK35" s="3"/>
      <c r="AL35" s="3"/>
      <c r="AN35" s="3"/>
      <c r="AO35" s="3"/>
      <c r="AQ35" s="3"/>
      <c r="AR35" s="3"/>
      <c r="AT35" s="3"/>
      <c r="AU35" s="3"/>
      <c r="AW35" s="3"/>
      <c r="AX35" s="3"/>
    </row>
    <row r="36" spans="1:50" x14ac:dyDescent="0.25">
      <c r="A36" s="12">
        <v>33</v>
      </c>
      <c r="B36" s="49" t="s">
        <v>106</v>
      </c>
      <c r="C36" s="50">
        <v>69</v>
      </c>
      <c r="D36" s="50">
        <v>1</v>
      </c>
      <c r="E36" s="100">
        <v>1</v>
      </c>
      <c r="F36" s="118">
        <v>1</v>
      </c>
      <c r="G36" s="42">
        <v>0</v>
      </c>
      <c r="H36" s="100">
        <f t="shared" si="0"/>
        <v>1</v>
      </c>
      <c r="I36" s="100" t="s">
        <v>262</v>
      </c>
      <c r="J36" s="36"/>
      <c r="K36" s="3"/>
      <c r="L36" s="89"/>
      <c r="P36" s="99"/>
      <c r="Q36" s="11"/>
      <c r="R36" s="11"/>
      <c r="S36" s="11"/>
      <c r="U36" s="11"/>
      <c r="V36" s="11"/>
      <c r="W36" s="11"/>
      <c r="X36" s="11"/>
      <c r="Y36" s="11"/>
      <c r="Z36" s="3"/>
      <c r="AA36" s="15"/>
      <c r="AB36" s="4"/>
      <c r="AC36" s="4"/>
      <c r="AD36" s="3"/>
      <c r="AE36" s="5" t="s">
        <v>5</v>
      </c>
      <c r="AF36" s="5" t="s">
        <v>6</v>
      </c>
      <c r="AG36" s="2"/>
      <c r="AH36" s="5" t="s">
        <v>8</v>
      </c>
      <c r="AI36" s="5" t="s">
        <v>10</v>
      </c>
      <c r="AJ36" s="2"/>
      <c r="AK36" s="5" t="s">
        <v>12</v>
      </c>
      <c r="AL36" s="5" t="s">
        <v>14</v>
      </c>
      <c r="AM36" s="2"/>
      <c r="AN36" s="5" t="s">
        <v>16</v>
      </c>
      <c r="AO36" s="5" t="s">
        <v>27</v>
      </c>
      <c r="AP36" s="2"/>
      <c r="AQ36" s="5" t="s">
        <v>28</v>
      </c>
      <c r="AR36" s="5" t="s">
        <v>29</v>
      </c>
      <c r="AS36" s="2"/>
      <c r="AT36" s="5" t="s">
        <v>30</v>
      </c>
      <c r="AU36" s="5" t="s">
        <v>31</v>
      </c>
      <c r="AV36" s="2"/>
      <c r="AW36" s="5" t="s">
        <v>32</v>
      </c>
      <c r="AX36" s="5" t="s">
        <v>33</v>
      </c>
    </row>
    <row r="37" spans="1:50" x14ac:dyDescent="0.25">
      <c r="A37" s="12">
        <v>34</v>
      </c>
      <c r="B37" s="51" t="s">
        <v>107</v>
      </c>
      <c r="C37" s="50">
        <v>36</v>
      </c>
      <c r="D37" s="50">
        <v>0</v>
      </c>
      <c r="E37" s="100">
        <v>1</v>
      </c>
      <c r="F37" s="118">
        <v>1</v>
      </c>
      <c r="G37" s="42">
        <v>0</v>
      </c>
      <c r="H37" s="100">
        <f t="shared" si="0"/>
        <v>0</v>
      </c>
      <c r="I37" s="100">
        <v>0</v>
      </c>
      <c r="J37" s="36"/>
      <c r="K37" s="3"/>
      <c r="L37" s="89"/>
      <c r="P37" s="99"/>
      <c r="Q37" s="11"/>
      <c r="R37" s="11"/>
      <c r="S37" s="11"/>
      <c r="U37" s="11"/>
      <c r="V37" s="11"/>
      <c r="W37" s="11"/>
      <c r="X37" s="11"/>
      <c r="Y37" s="11"/>
      <c r="AA37" s="15"/>
      <c r="AB37" s="4"/>
      <c r="AC37" s="4"/>
      <c r="AE37" s="95">
        <f>VLOOKUP(AE4,$A$4:$C$288,3,0)</f>
        <v>70</v>
      </c>
      <c r="AF37" s="95">
        <f t="shared" ref="AF37:AF47" si="1">VLOOKUP(AF4,$A$4:$C$288,3,0)</f>
        <v>24</v>
      </c>
      <c r="AG37" s="93"/>
      <c r="AH37" s="95">
        <f t="shared" ref="AH37:AI50" si="2">VLOOKUP(AH4,$A$4:$C$288,3,0)</f>
        <v>76</v>
      </c>
      <c r="AI37" s="95">
        <f t="shared" si="2"/>
        <v>48</v>
      </c>
      <c r="AJ37" s="93"/>
      <c r="AK37" s="95">
        <f t="shared" ref="AK37:AL52" si="3">VLOOKUP(AK4,$A$4:$C$288,3,0)</f>
        <v>135</v>
      </c>
      <c r="AL37" s="95">
        <f t="shared" si="3"/>
        <v>94</v>
      </c>
      <c r="AM37" s="93"/>
      <c r="AN37" s="95">
        <f t="shared" ref="AN37:AO47" si="4">VLOOKUP(AN4,$A$4:$C$288,3,0)</f>
        <v>89</v>
      </c>
      <c r="AO37" s="95">
        <f t="shared" si="4"/>
        <v>29</v>
      </c>
      <c r="AP37" s="93"/>
      <c r="AQ37" s="95">
        <f t="shared" ref="AQ37:AR49" si="5">VLOOKUP(AQ4,$A$4:$C$288,3,0)</f>
        <v>94</v>
      </c>
      <c r="AR37" s="95">
        <f t="shared" si="5"/>
        <v>44</v>
      </c>
      <c r="AS37" s="93"/>
      <c r="AT37" s="95">
        <f t="shared" ref="AT37:AU49" si="6">VLOOKUP(AT4,$A$4:$C$288,3,0)</f>
        <v>70</v>
      </c>
      <c r="AU37" s="95">
        <f t="shared" si="6"/>
        <v>67</v>
      </c>
      <c r="AV37" s="93"/>
      <c r="AW37" s="95">
        <f t="shared" ref="AW37:AX47" si="7">VLOOKUP(AW4,$A$4:$C$288,3,0)</f>
        <v>75</v>
      </c>
      <c r="AX37" s="95">
        <f t="shared" si="7"/>
        <v>54</v>
      </c>
    </row>
    <row r="38" spans="1:50" x14ac:dyDescent="0.25">
      <c r="A38" s="12">
        <v>35</v>
      </c>
      <c r="B38" s="49" t="s">
        <v>108</v>
      </c>
      <c r="C38" s="50">
        <v>16</v>
      </c>
      <c r="D38" s="50">
        <v>0</v>
      </c>
      <c r="E38" s="100">
        <v>1</v>
      </c>
      <c r="F38" s="118">
        <v>1</v>
      </c>
      <c r="G38" s="42">
        <v>0</v>
      </c>
      <c r="H38" s="100">
        <f t="shared" si="0"/>
        <v>0</v>
      </c>
      <c r="I38" s="100">
        <v>0</v>
      </c>
      <c r="J38" s="36"/>
      <c r="K38" s="3"/>
      <c r="L38" s="89"/>
      <c r="P38" s="99"/>
      <c r="Q38" s="11"/>
      <c r="R38" s="11"/>
      <c r="S38" s="11"/>
      <c r="U38" s="11"/>
      <c r="V38" s="11"/>
      <c r="W38" s="11"/>
      <c r="X38" s="11"/>
      <c r="Y38" s="11"/>
      <c r="AA38" s="15"/>
      <c r="AB38" s="4"/>
      <c r="AC38" s="4"/>
      <c r="AE38" s="95">
        <f t="shared" ref="AE38:AE47" si="8">VLOOKUP(AE5,$A$4:$C$288,3,0)</f>
        <v>71</v>
      </c>
      <c r="AF38" s="95">
        <f t="shared" si="1"/>
        <v>26</v>
      </c>
      <c r="AG38" s="93"/>
      <c r="AH38" s="95">
        <f t="shared" si="2"/>
        <v>70</v>
      </c>
      <c r="AI38" s="95">
        <f t="shared" si="2"/>
        <v>44</v>
      </c>
      <c r="AJ38" s="93"/>
      <c r="AK38" s="95">
        <f t="shared" si="3"/>
        <v>121</v>
      </c>
      <c r="AL38" s="95">
        <f t="shared" si="3"/>
        <v>57</v>
      </c>
      <c r="AM38" s="93"/>
      <c r="AN38" s="95">
        <f t="shared" si="4"/>
        <v>67</v>
      </c>
      <c r="AO38" s="95">
        <f t="shared" si="4"/>
        <v>39</v>
      </c>
      <c r="AP38" s="93"/>
      <c r="AQ38" s="95">
        <f t="shared" si="5"/>
        <v>87</v>
      </c>
      <c r="AR38" s="95">
        <f t="shared" si="5"/>
        <v>46</v>
      </c>
      <c r="AS38" s="93"/>
      <c r="AT38" s="95">
        <f t="shared" si="6"/>
        <v>72</v>
      </c>
      <c r="AU38" s="95">
        <f t="shared" si="6"/>
        <v>73</v>
      </c>
      <c r="AV38" s="93"/>
      <c r="AW38" s="95">
        <f t="shared" si="7"/>
        <v>77</v>
      </c>
      <c r="AX38" s="95">
        <f t="shared" si="7"/>
        <v>54</v>
      </c>
    </row>
    <row r="39" spans="1:50" x14ac:dyDescent="0.25">
      <c r="A39" s="12">
        <v>36</v>
      </c>
      <c r="B39" s="51" t="s">
        <v>109</v>
      </c>
      <c r="C39" s="50">
        <v>15</v>
      </c>
      <c r="D39" s="50">
        <v>0</v>
      </c>
      <c r="E39" s="100">
        <v>1</v>
      </c>
      <c r="F39" s="118">
        <v>1</v>
      </c>
      <c r="G39" s="42">
        <v>0</v>
      </c>
      <c r="H39" s="100">
        <f t="shared" si="0"/>
        <v>0</v>
      </c>
      <c r="I39" s="100">
        <v>0</v>
      </c>
      <c r="J39" s="36"/>
      <c r="K39" s="3"/>
      <c r="L39" s="89"/>
      <c r="P39" s="99"/>
      <c r="Q39" s="11"/>
      <c r="R39" s="11"/>
      <c r="S39" s="11"/>
      <c r="U39" s="11"/>
      <c r="V39" s="11"/>
      <c r="W39" s="11"/>
      <c r="X39" s="11"/>
      <c r="Y39" s="11"/>
      <c r="AA39" s="15"/>
      <c r="AB39" s="4"/>
      <c r="AC39" s="4"/>
      <c r="AE39" s="95">
        <f t="shared" si="8"/>
        <v>71</v>
      </c>
      <c r="AF39" s="95">
        <f t="shared" si="1"/>
        <v>26</v>
      </c>
      <c r="AG39" s="93"/>
      <c r="AH39" s="95">
        <f t="shared" si="2"/>
        <v>91</v>
      </c>
      <c r="AI39" s="95">
        <f t="shared" si="2"/>
        <v>45</v>
      </c>
      <c r="AJ39" s="93"/>
      <c r="AK39" s="95">
        <f t="shared" si="3"/>
        <v>104</v>
      </c>
      <c r="AL39" s="95">
        <f t="shared" si="3"/>
        <v>37</v>
      </c>
      <c r="AM39" s="93"/>
      <c r="AN39" s="95">
        <f t="shared" si="4"/>
        <v>67</v>
      </c>
      <c r="AO39" s="95">
        <f t="shared" si="4"/>
        <v>30</v>
      </c>
      <c r="AP39" s="93"/>
      <c r="AQ39" s="95">
        <f t="shared" si="5"/>
        <v>76</v>
      </c>
      <c r="AR39" s="95">
        <f t="shared" si="5"/>
        <v>43</v>
      </c>
      <c r="AS39" s="93"/>
      <c r="AT39" s="95">
        <f t="shared" si="6"/>
        <v>67</v>
      </c>
      <c r="AU39" s="95">
        <f t="shared" si="6"/>
        <v>67</v>
      </c>
      <c r="AV39" s="93"/>
      <c r="AW39" s="95">
        <f t="shared" si="7"/>
        <v>74</v>
      </c>
      <c r="AX39" s="95">
        <f t="shared" si="7"/>
        <v>53</v>
      </c>
    </row>
    <row r="40" spans="1:50" x14ac:dyDescent="0.25">
      <c r="A40" s="12">
        <v>37</v>
      </c>
      <c r="B40" s="49" t="s">
        <v>110</v>
      </c>
      <c r="C40" s="50">
        <v>48</v>
      </c>
      <c r="D40" s="50">
        <v>0</v>
      </c>
      <c r="E40" s="100">
        <v>1</v>
      </c>
      <c r="F40" s="118">
        <v>1</v>
      </c>
      <c r="G40" s="42">
        <v>0</v>
      </c>
      <c r="H40" s="100">
        <f t="shared" si="0"/>
        <v>0</v>
      </c>
      <c r="I40" s="100">
        <v>0</v>
      </c>
      <c r="J40" s="36"/>
      <c r="K40" s="3"/>
      <c r="U40" s="11"/>
      <c r="V40" s="11"/>
      <c r="W40" s="11"/>
      <c r="X40" s="11"/>
      <c r="Y40" s="11"/>
      <c r="AA40" s="15"/>
      <c r="AB40" s="4"/>
      <c r="AC40" s="4"/>
      <c r="AE40" s="95">
        <f t="shared" si="8"/>
        <v>75</v>
      </c>
      <c r="AF40" s="95">
        <f t="shared" si="1"/>
        <v>25</v>
      </c>
      <c r="AG40" s="93"/>
      <c r="AH40" s="95">
        <f t="shared" si="2"/>
        <v>75</v>
      </c>
      <c r="AI40" s="95">
        <f t="shared" si="2"/>
        <v>44</v>
      </c>
      <c r="AJ40" s="93"/>
      <c r="AK40" s="95">
        <f t="shared" si="3"/>
        <v>54</v>
      </c>
      <c r="AL40" s="95">
        <f t="shared" si="3"/>
        <v>98</v>
      </c>
      <c r="AM40" s="93"/>
      <c r="AN40" s="95">
        <f t="shared" si="4"/>
        <v>77</v>
      </c>
      <c r="AO40" s="95">
        <f t="shared" si="4"/>
        <v>26</v>
      </c>
      <c r="AP40" s="93"/>
      <c r="AQ40" s="95">
        <f t="shared" si="5"/>
        <v>101</v>
      </c>
      <c r="AR40" s="95">
        <f t="shared" si="5"/>
        <v>46</v>
      </c>
      <c r="AS40" s="93"/>
      <c r="AT40" s="95">
        <f t="shared" si="6"/>
        <v>80</v>
      </c>
      <c r="AU40" s="95">
        <f t="shared" si="6"/>
        <v>31</v>
      </c>
      <c r="AV40" s="93"/>
      <c r="AW40" s="95">
        <f t="shared" si="7"/>
        <v>75</v>
      </c>
      <c r="AX40" s="95">
        <f t="shared" si="7"/>
        <v>53</v>
      </c>
    </row>
    <row r="41" spans="1:50" x14ac:dyDescent="0.25">
      <c r="A41" s="12">
        <v>38</v>
      </c>
      <c r="B41" s="51" t="s">
        <v>111</v>
      </c>
      <c r="C41" s="50">
        <v>44</v>
      </c>
      <c r="D41" s="50">
        <v>0</v>
      </c>
      <c r="E41" s="100">
        <v>1</v>
      </c>
      <c r="F41" s="118">
        <v>1</v>
      </c>
      <c r="G41" s="42">
        <v>0</v>
      </c>
      <c r="H41" s="100">
        <f t="shared" si="0"/>
        <v>0</v>
      </c>
      <c r="I41" s="100">
        <v>0</v>
      </c>
      <c r="J41" s="36"/>
      <c r="K41" s="3"/>
      <c r="U41" s="11"/>
      <c r="V41" s="11"/>
      <c r="W41" s="11"/>
      <c r="X41" s="11"/>
      <c r="Y41" s="11"/>
      <c r="AA41" s="15"/>
      <c r="AB41" s="4"/>
      <c r="AC41" s="4"/>
      <c r="AE41" s="95">
        <f t="shared" si="8"/>
        <v>75</v>
      </c>
      <c r="AF41" s="95">
        <f t="shared" si="1"/>
        <v>24</v>
      </c>
      <c r="AG41" s="93"/>
      <c r="AH41" s="95">
        <f t="shared" si="2"/>
        <v>69</v>
      </c>
      <c r="AI41" s="95">
        <f t="shared" si="2"/>
        <v>46</v>
      </c>
      <c r="AJ41" s="93"/>
      <c r="AK41" s="95">
        <f t="shared" si="3"/>
        <v>60</v>
      </c>
      <c r="AL41" s="95">
        <f t="shared" si="3"/>
        <v>92</v>
      </c>
      <c r="AM41" s="93"/>
      <c r="AN41" s="95">
        <f t="shared" si="4"/>
        <v>113</v>
      </c>
      <c r="AO41" s="95">
        <f t="shared" si="4"/>
        <v>26</v>
      </c>
      <c r="AP41" s="93"/>
      <c r="AQ41" s="95">
        <f t="shared" si="5"/>
        <v>89</v>
      </c>
      <c r="AR41" s="95">
        <f t="shared" si="5"/>
        <v>42</v>
      </c>
      <c r="AS41" s="93"/>
      <c r="AT41" s="95">
        <f t="shared" si="6"/>
        <v>75</v>
      </c>
      <c r="AU41" s="95">
        <f t="shared" si="6"/>
        <v>36</v>
      </c>
      <c r="AV41" s="93"/>
      <c r="AW41" s="95">
        <f t="shared" si="7"/>
        <v>66</v>
      </c>
      <c r="AX41" s="95">
        <f t="shared" si="7"/>
        <v>54</v>
      </c>
    </row>
    <row r="42" spans="1:50" x14ac:dyDescent="0.25">
      <c r="A42" s="12">
        <v>39</v>
      </c>
      <c r="B42" s="49" t="s">
        <v>112</v>
      </c>
      <c r="C42" s="50">
        <v>45</v>
      </c>
      <c r="D42" s="50">
        <v>0</v>
      </c>
      <c r="E42" s="100">
        <v>1</v>
      </c>
      <c r="F42" s="118">
        <v>1</v>
      </c>
      <c r="G42" s="42">
        <v>0</v>
      </c>
      <c r="H42" s="100">
        <f t="shared" si="0"/>
        <v>0</v>
      </c>
      <c r="I42" s="100">
        <v>0</v>
      </c>
      <c r="J42" s="36"/>
      <c r="K42" s="3"/>
      <c r="U42" s="11"/>
      <c r="V42" s="11"/>
      <c r="W42" s="11"/>
      <c r="X42" s="11"/>
      <c r="Y42" s="11"/>
      <c r="AA42" s="15"/>
      <c r="AB42" s="4"/>
      <c r="AC42" s="4"/>
      <c r="AE42" s="95">
        <f t="shared" si="8"/>
        <v>88</v>
      </c>
      <c r="AF42" s="95">
        <f t="shared" si="1"/>
        <v>29</v>
      </c>
      <c r="AG42" s="93"/>
      <c r="AH42" s="95">
        <f t="shared" si="2"/>
        <v>67</v>
      </c>
      <c r="AI42" s="95">
        <f t="shared" si="2"/>
        <v>20</v>
      </c>
      <c r="AJ42" s="93"/>
      <c r="AK42" s="95">
        <f t="shared" si="3"/>
        <v>67</v>
      </c>
      <c r="AL42" s="95">
        <f t="shared" si="3"/>
        <v>68</v>
      </c>
      <c r="AM42" s="93"/>
      <c r="AN42" s="95">
        <f t="shared" si="4"/>
        <v>35</v>
      </c>
      <c r="AO42" s="95">
        <f t="shared" si="4"/>
        <v>41</v>
      </c>
      <c r="AP42" s="93"/>
      <c r="AQ42" s="95">
        <f t="shared" si="5"/>
        <v>92</v>
      </c>
      <c r="AR42" s="95">
        <f t="shared" si="5"/>
        <v>44</v>
      </c>
      <c r="AS42" s="93"/>
      <c r="AT42" s="95">
        <f t="shared" si="6"/>
        <v>71</v>
      </c>
      <c r="AU42" s="95">
        <f t="shared" si="6"/>
        <v>3</v>
      </c>
      <c r="AV42" s="93"/>
      <c r="AW42" s="95">
        <f t="shared" si="7"/>
        <v>66</v>
      </c>
      <c r="AX42" s="95">
        <f t="shared" si="7"/>
        <v>54</v>
      </c>
    </row>
    <row r="43" spans="1:50" x14ac:dyDescent="0.25">
      <c r="A43" s="12">
        <v>40</v>
      </c>
      <c r="B43" s="51" t="s">
        <v>113</v>
      </c>
      <c r="C43" s="50">
        <v>44</v>
      </c>
      <c r="D43" s="50">
        <v>0</v>
      </c>
      <c r="E43" s="100">
        <v>1</v>
      </c>
      <c r="F43" s="118">
        <v>1</v>
      </c>
      <c r="G43" s="42">
        <v>0</v>
      </c>
      <c r="H43" s="100">
        <f t="shared" si="0"/>
        <v>0</v>
      </c>
      <c r="I43" s="100">
        <v>0</v>
      </c>
      <c r="J43" s="36"/>
      <c r="K43" s="3"/>
      <c r="U43" s="11"/>
      <c r="V43" s="11"/>
      <c r="W43" s="11"/>
      <c r="X43" s="11"/>
      <c r="Y43" s="11"/>
      <c r="AA43" s="15"/>
      <c r="AB43" s="4"/>
      <c r="AC43" s="4"/>
      <c r="AE43" s="95">
        <f t="shared" si="8"/>
        <v>71</v>
      </c>
      <c r="AF43" s="95">
        <f t="shared" si="1"/>
        <v>13</v>
      </c>
      <c r="AG43" s="93"/>
      <c r="AH43" s="95">
        <f t="shared" si="2"/>
        <v>39</v>
      </c>
      <c r="AI43" s="95">
        <f t="shared" si="2"/>
        <v>17</v>
      </c>
      <c r="AJ43" s="93"/>
      <c r="AK43" s="95">
        <f t="shared" si="3"/>
        <v>60</v>
      </c>
      <c r="AL43" s="95">
        <f t="shared" si="3"/>
        <v>93</v>
      </c>
      <c r="AM43" s="93"/>
      <c r="AN43" s="95">
        <f t="shared" si="4"/>
        <v>49</v>
      </c>
      <c r="AO43" s="95">
        <f t="shared" si="4"/>
        <v>28</v>
      </c>
      <c r="AP43" s="93"/>
      <c r="AQ43" s="95">
        <f t="shared" si="5"/>
        <v>97</v>
      </c>
      <c r="AR43" s="95">
        <f t="shared" si="5"/>
        <v>44</v>
      </c>
      <c r="AS43" s="93"/>
      <c r="AT43" s="95">
        <f t="shared" si="6"/>
        <v>71</v>
      </c>
      <c r="AU43" s="95">
        <f t="shared" si="6"/>
        <v>63</v>
      </c>
      <c r="AV43" s="93"/>
      <c r="AW43" s="95">
        <f t="shared" si="7"/>
        <v>70</v>
      </c>
      <c r="AX43" s="95">
        <f t="shared" si="7"/>
        <v>30</v>
      </c>
    </row>
    <row r="44" spans="1:50" x14ac:dyDescent="0.25">
      <c r="A44" s="12">
        <v>41</v>
      </c>
      <c r="B44" s="49" t="s">
        <v>114</v>
      </c>
      <c r="C44" s="50">
        <v>46</v>
      </c>
      <c r="D44" s="50">
        <v>0</v>
      </c>
      <c r="E44" s="100">
        <v>1</v>
      </c>
      <c r="F44" s="118">
        <v>1</v>
      </c>
      <c r="G44" s="42">
        <v>0</v>
      </c>
      <c r="H44" s="100">
        <f t="shared" si="0"/>
        <v>0</v>
      </c>
      <c r="I44" s="100">
        <v>0</v>
      </c>
      <c r="J44" s="36"/>
      <c r="K44" s="3"/>
      <c r="U44" s="11"/>
      <c r="V44" s="11"/>
      <c r="W44" s="11"/>
      <c r="X44" s="11"/>
      <c r="Y44" s="11"/>
      <c r="AA44" s="15"/>
      <c r="AB44" s="4"/>
      <c r="AC44" s="4"/>
      <c r="AE44" s="95">
        <f t="shared" si="8"/>
        <v>23</v>
      </c>
      <c r="AF44" s="95">
        <f t="shared" si="1"/>
        <v>19</v>
      </c>
      <c r="AG44" s="93"/>
      <c r="AH44" s="95">
        <f t="shared" si="2"/>
        <v>32</v>
      </c>
      <c r="AI44" s="95">
        <f t="shared" si="2"/>
        <v>28</v>
      </c>
      <c r="AJ44" s="93"/>
      <c r="AK44" s="95">
        <f t="shared" si="3"/>
        <v>127</v>
      </c>
      <c r="AL44" s="95">
        <f t="shared" si="3"/>
        <v>61</v>
      </c>
      <c r="AM44" s="93"/>
      <c r="AN44" s="95">
        <f t="shared" si="4"/>
        <v>75</v>
      </c>
      <c r="AO44" s="95">
        <f t="shared" si="4"/>
        <v>33</v>
      </c>
      <c r="AP44" s="93"/>
      <c r="AQ44" s="95">
        <f t="shared" si="5"/>
        <v>50</v>
      </c>
      <c r="AR44" s="95">
        <f t="shared" si="5"/>
        <v>18</v>
      </c>
      <c r="AS44" s="93"/>
      <c r="AT44" s="95">
        <f t="shared" si="6"/>
        <v>50</v>
      </c>
      <c r="AU44" s="95">
        <f t="shared" si="6"/>
        <v>70</v>
      </c>
      <c r="AV44" s="93"/>
      <c r="AW44" s="95">
        <f t="shared" si="7"/>
        <v>38</v>
      </c>
      <c r="AX44" s="95">
        <f t="shared" si="7"/>
        <v>18</v>
      </c>
    </row>
    <row r="45" spans="1:50" x14ac:dyDescent="0.25">
      <c r="A45" s="12">
        <v>42</v>
      </c>
      <c r="B45" s="49" t="s">
        <v>115</v>
      </c>
      <c r="C45" s="50">
        <v>20</v>
      </c>
      <c r="D45" s="50">
        <v>0</v>
      </c>
      <c r="E45" s="100">
        <v>1</v>
      </c>
      <c r="F45" s="118">
        <v>1</v>
      </c>
      <c r="G45" s="42">
        <v>0</v>
      </c>
      <c r="H45" s="100">
        <f t="shared" si="0"/>
        <v>0</v>
      </c>
      <c r="I45" s="100">
        <v>0</v>
      </c>
      <c r="J45" s="36"/>
      <c r="K45" s="3"/>
      <c r="U45" s="11"/>
      <c r="V45" s="11"/>
      <c r="W45" s="11"/>
      <c r="X45" s="11"/>
      <c r="Y45" s="11"/>
      <c r="AA45" s="15"/>
      <c r="AB45" s="4"/>
      <c r="AC45" s="4"/>
      <c r="AE45" s="95">
        <f t="shared" si="8"/>
        <v>50</v>
      </c>
      <c r="AF45" s="95">
        <f t="shared" si="1"/>
        <v>30</v>
      </c>
      <c r="AG45" s="93"/>
      <c r="AH45" s="95">
        <f t="shared" si="2"/>
        <v>68</v>
      </c>
      <c r="AI45" s="95">
        <f t="shared" si="2"/>
        <v>20</v>
      </c>
      <c r="AJ45" s="93"/>
      <c r="AK45" s="95">
        <f t="shared" si="3"/>
        <v>175</v>
      </c>
      <c r="AL45" s="95">
        <f t="shared" si="3"/>
        <v>66</v>
      </c>
      <c r="AM45" s="93"/>
      <c r="AN45" s="95">
        <f t="shared" si="4"/>
        <v>98</v>
      </c>
      <c r="AO45" s="95">
        <f t="shared" si="4"/>
        <v>31</v>
      </c>
      <c r="AP45" s="93"/>
      <c r="AQ45" s="95">
        <f t="shared" si="5"/>
        <v>36</v>
      </c>
      <c r="AR45" s="95">
        <f t="shared" si="5"/>
        <v>35</v>
      </c>
      <c r="AS45" s="93"/>
      <c r="AT45" s="95">
        <f t="shared" si="6"/>
        <v>40</v>
      </c>
      <c r="AU45" s="95">
        <f t="shared" si="6"/>
        <v>36</v>
      </c>
      <c r="AV45" s="93"/>
      <c r="AW45" s="95">
        <f t="shared" si="7"/>
        <v>37</v>
      </c>
      <c r="AX45" s="95">
        <f t="shared" si="7"/>
        <v>32</v>
      </c>
    </row>
    <row r="46" spans="1:50" x14ac:dyDescent="0.25">
      <c r="A46" s="12">
        <v>43</v>
      </c>
      <c r="B46" s="51" t="s">
        <v>116</v>
      </c>
      <c r="C46" s="50">
        <v>17</v>
      </c>
      <c r="D46" s="50">
        <v>0</v>
      </c>
      <c r="E46" s="100">
        <v>1</v>
      </c>
      <c r="F46" s="118">
        <v>1</v>
      </c>
      <c r="G46" s="42">
        <v>0</v>
      </c>
      <c r="H46" s="100">
        <f t="shared" si="0"/>
        <v>0</v>
      </c>
      <c r="I46" s="100">
        <v>0</v>
      </c>
      <c r="J46" s="36"/>
      <c r="K46" s="3"/>
      <c r="U46" s="11"/>
      <c r="V46" s="11"/>
      <c r="W46" s="11"/>
      <c r="X46" s="11"/>
      <c r="Y46" s="11"/>
      <c r="AA46" s="15"/>
      <c r="AB46" s="4"/>
      <c r="AC46" s="4"/>
      <c r="AE46" s="95">
        <f t="shared" si="8"/>
        <v>74</v>
      </c>
      <c r="AF46" s="95">
        <f t="shared" si="1"/>
        <v>12</v>
      </c>
      <c r="AG46" s="93"/>
      <c r="AH46" s="95">
        <f t="shared" si="2"/>
        <v>74</v>
      </c>
      <c r="AI46" s="95">
        <f t="shared" si="2"/>
        <v>17</v>
      </c>
      <c r="AJ46" s="93"/>
      <c r="AK46" s="95">
        <f t="shared" si="3"/>
        <v>64</v>
      </c>
      <c r="AL46" s="95">
        <f t="shared" si="3"/>
        <v>65</v>
      </c>
      <c r="AM46" s="93"/>
      <c r="AN46" s="95">
        <f t="shared" si="4"/>
        <v>109</v>
      </c>
      <c r="AO46" s="95">
        <f t="shared" si="4"/>
        <v>29</v>
      </c>
      <c r="AP46" s="93"/>
      <c r="AQ46" s="95"/>
      <c r="AR46" s="95">
        <f t="shared" si="5"/>
        <v>56</v>
      </c>
      <c r="AS46" s="93"/>
      <c r="AT46" s="95">
        <f t="shared" si="6"/>
        <v>28</v>
      </c>
      <c r="AU46" s="95">
        <f t="shared" si="6"/>
        <v>27</v>
      </c>
      <c r="AV46" s="93"/>
      <c r="AW46" s="95">
        <f t="shared" si="7"/>
        <v>22</v>
      </c>
      <c r="AX46" s="95">
        <v>30</v>
      </c>
    </row>
    <row r="47" spans="1:50" x14ac:dyDescent="0.25">
      <c r="A47" s="12">
        <v>44</v>
      </c>
      <c r="B47" s="49" t="s">
        <v>117</v>
      </c>
      <c r="C47" s="50">
        <v>28</v>
      </c>
      <c r="D47" s="50">
        <v>0</v>
      </c>
      <c r="E47" s="100">
        <v>1</v>
      </c>
      <c r="F47" s="118">
        <v>1</v>
      </c>
      <c r="G47" s="42">
        <v>0</v>
      </c>
      <c r="H47" s="100">
        <f t="shared" si="0"/>
        <v>0</v>
      </c>
      <c r="I47" s="100">
        <v>0</v>
      </c>
      <c r="J47" s="36"/>
      <c r="K47" s="3"/>
      <c r="U47" s="11"/>
      <c r="V47" s="11"/>
      <c r="W47" s="11"/>
      <c r="X47" s="11"/>
      <c r="Y47" s="11"/>
      <c r="AA47" s="15"/>
      <c r="AB47" s="4"/>
      <c r="AC47" s="4"/>
      <c r="AE47" s="95">
        <f t="shared" si="8"/>
        <v>70</v>
      </c>
      <c r="AF47" s="95">
        <f t="shared" si="1"/>
        <v>19</v>
      </c>
      <c r="AG47" s="93"/>
      <c r="AH47" s="95">
        <f t="shared" si="2"/>
        <v>69</v>
      </c>
      <c r="AI47" s="95">
        <f t="shared" si="2"/>
        <v>20</v>
      </c>
      <c r="AJ47" s="93"/>
      <c r="AK47" s="95">
        <f t="shared" si="3"/>
        <v>56</v>
      </c>
      <c r="AL47" s="95">
        <f t="shared" si="3"/>
        <v>26</v>
      </c>
      <c r="AM47" s="93"/>
      <c r="AN47" s="95"/>
      <c r="AO47" s="95">
        <f t="shared" si="4"/>
        <v>33</v>
      </c>
      <c r="AP47" s="93"/>
      <c r="AQ47" s="95"/>
      <c r="AR47" s="95">
        <f t="shared" si="5"/>
        <v>50</v>
      </c>
      <c r="AS47" s="93"/>
      <c r="AT47" s="95">
        <f t="shared" si="6"/>
        <v>41</v>
      </c>
      <c r="AU47" s="95">
        <f t="shared" si="6"/>
        <v>62</v>
      </c>
      <c r="AV47" s="93"/>
      <c r="AW47" s="95">
        <f t="shared" si="7"/>
        <v>57</v>
      </c>
      <c r="AX47" s="95">
        <v>30</v>
      </c>
    </row>
    <row r="48" spans="1:50" x14ac:dyDescent="0.25">
      <c r="A48" s="12">
        <v>45</v>
      </c>
      <c r="B48" s="51" t="s">
        <v>118</v>
      </c>
      <c r="C48" s="50">
        <v>20</v>
      </c>
      <c r="D48" s="50">
        <v>0</v>
      </c>
      <c r="E48" s="100">
        <v>1</v>
      </c>
      <c r="F48" s="118">
        <v>1</v>
      </c>
      <c r="G48" s="42">
        <v>0</v>
      </c>
      <c r="H48" s="100">
        <f t="shared" si="0"/>
        <v>0</v>
      </c>
      <c r="I48" s="100">
        <v>0</v>
      </c>
      <c r="J48" s="36"/>
      <c r="K48" s="3"/>
      <c r="U48" s="11"/>
      <c r="V48" s="11"/>
      <c r="W48" s="11"/>
      <c r="X48" s="11"/>
      <c r="Y48" s="11"/>
      <c r="AA48" s="15"/>
      <c r="AB48" s="4"/>
      <c r="AC48" s="4"/>
      <c r="AE48" s="95"/>
      <c r="AF48" s="95"/>
      <c r="AG48" s="93"/>
      <c r="AH48" s="95">
        <f t="shared" si="2"/>
        <v>36</v>
      </c>
      <c r="AI48" s="95">
        <f t="shared" si="2"/>
        <v>30</v>
      </c>
      <c r="AJ48" s="93"/>
      <c r="AK48" s="95">
        <f t="shared" si="3"/>
        <v>29</v>
      </c>
      <c r="AL48" s="95">
        <f t="shared" si="3"/>
        <v>27</v>
      </c>
      <c r="AM48" s="93"/>
      <c r="AN48" s="95"/>
      <c r="AO48" s="95"/>
      <c r="AP48" s="93"/>
      <c r="AQ48" s="95"/>
      <c r="AR48" s="95">
        <f t="shared" si="5"/>
        <v>39</v>
      </c>
      <c r="AS48" s="93"/>
      <c r="AT48" s="95">
        <f t="shared" si="6"/>
        <v>32</v>
      </c>
      <c r="AU48" s="95">
        <f t="shared" si="6"/>
        <v>62</v>
      </c>
      <c r="AV48" s="93"/>
      <c r="AW48" s="95"/>
      <c r="AX48" s="95"/>
    </row>
    <row r="49" spans="1:50" x14ac:dyDescent="0.25">
      <c r="A49" s="12">
        <v>46</v>
      </c>
      <c r="B49" s="49" t="s">
        <v>119</v>
      </c>
      <c r="C49" s="50">
        <v>17</v>
      </c>
      <c r="D49" s="50">
        <v>0</v>
      </c>
      <c r="E49" s="100">
        <v>1</v>
      </c>
      <c r="F49" s="118">
        <v>1</v>
      </c>
      <c r="G49" s="42">
        <v>0</v>
      </c>
      <c r="H49" s="100">
        <f t="shared" si="0"/>
        <v>0</v>
      </c>
      <c r="I49" s="100">
        <v>0</v>
      </c>
      <c r="J49" s="36"/>
      <c r="K49" s="3"/>
      <c r="U49" s="11"/>
      <c r="V49" s="11"/>
      <c r="W49" s="11"/>
      <c r="X49" s="11"/>
      <c r="Y49" s="11"/>
      <c r="AA49" s="15"/>
      <c r="AB49" s="4"/>
      <c r="AC49" s="4"/>
      <c r="AE49" s="95"/>
      <c r="AF49" s="95"/>
      <c r="AG49" s="93"/>
      <c r="AH49" s="95">
        <f t="shared" si="2"/>
        <v>16</v>
      </c>
      <c r="AI49" s="95"/>
      <c r="AJ49" s="93"/>
      <c r="AK49" s="95">
        <f t="shared" si="3"/>
        <v>27</v>
      </c>
      <c r="AL49" s="95">
        <f t="shared" si="3"/>
        <v>28</v>
      </c>
      <c r="AM49" s="93"/>
      <c r="AN49" s="95"/>
      <c r="AO49" s="95"/>
      <c r="AP49" s="93"/>
      <c r="AQ49" s="95"/>
      <c r="AR49" s="95">
        <f t="shared" si="5"/>
        <v>15</v>
      </c>
      <c r="AS49" s="93"/>
      <c r="AT49" s="95">
        <f t="shared" si="6"/>
        <v>39</v>
      </c>
      <c r="AU49" s="95"/>
      <c r="AV49" s="93"/>
      <c r="AW49" s="95"/>
      <c r="AX49" s="95"/>
    </row>
    <row r="50" spans="1:50" x14ac:dyDescent="0.25">
      <c r="A50" s="12">
        <v>47</v>
      </c>
      <c r="B50" s="51" t="s">
        <v>120</v>
      </c>
      <c r="C50" s="50">
        <v>20</v>
      </c>
      <c r="D50" s="50">
        <v>0</v>
      </c>
      <c r="E50" s="100">
        <v>1</v>
      </c>
      <c r="F50" s="118">
        <v>1</v>
      </c>
      <c r="G50" s="42">
        <v>0</v>
      </c>
      <c r="H50" s="100">
        <f t="shared" si="0"/>
        <v>0</v>
      </c>
      <c r="I50" s="100">
        <v>0</v>
      </c>
      <c r="J50" s="36"/>
      <c r="K50" s="3"/>
      <c r="U50" s="11"/>
      <c r="V50" s="4"/>
      <c r="W50" s="4"/>
      <c r="X50" s="4"/>
      <c r="Y50" s="98"/>
      <c r="AE50" s="95"/>
      <c r="AF50" s="95"/>
      <c r="AG50" s="93"/>
      <c r="AH50" s="95">
        <f t="shared" si="2"/>
        <v>15</v>
      </c>
      <c r="AI50" s="95"/>
      <c r="AJ50" s="93"/>
      <c r="AK50" s="95">
        <f t="shared" si="3"/>
        <v>28</v>
      </c>
      <c r="AL50" s="95">
        <f t="shared" si="3"/>
        <v>26</v>
      </c>
      <c r="AM50" s="93"/>
      <c r="AN50" s="95"/>
      <c r="AO50" s="95"/>
      <c r="AP50" s="93"/>
      <c r="AQ50" s="95"/>
      <c r="AR50" s="95"/>
      <c r="AS50" s="93"/>
      <c r="AT50" s="95"/>
      <c r="AU50" s="95"/>
      <c r="AV50" s="93"/>
      <c r="AW50" s="95"/>
      <c r="AX50" s="95"/>
    </row>
    <row r="51" spans="1:50" x14ac:dyDescent="0.25">
      <c r="A51" s="12">
        <v>48</v>
      </c>
      <c r="B51" s="49" t="s">
        <v>121</v>
      </c>
      <c r="C51" s="50">
        <v>30</v>
      </c>
      <c r="D51" s="50">
        <v>0</v>
      </c>
      <c r="E51" s="100">
        <v>1</v>
      </c>
      <c r="F51" s="118">
        <v>1</v>
      </c>
      <c r="G51" s="42">
        <v>0</v>
      </c>
      <c r="H51" s="100">
        <f t="shared" si="0"/>
        <v>0</v>
      </c>
      <c r="I51" s="100">
        <v>0</v>
      </c>
      <c r="J51" s="36"/>
      <c r="K51" s="3"/>
      <c r="U51" s="11"/>
      <c r="V51" s="4"/>
      <c r="W51" s="4"/>
      <c r="X51" s="4"/>
      <c r="Y51" s="98"/>
      <c r="AE51" s="95"/>
      <c r="AF51" s="95"/>
      <c r="AG51" s="93"/>
      <c r="AH51" s="95"/>
      <c r="AI51" s="95"/>
      <c r="AJ51" s="93"/>
      <c r="AK51" s="95">
        <f t="shared" si="3"/>
        <v>29</v>
      </c>
      <c r="AL51" s="95">
        <f t="shared" si="3"/>
        <v>26</v>
      </c>
      <c r="AM51" s="93"/>
      <c r="AN51" s="95"/>
      <c r="AO51" s="95"/>
      <c r="AP51" s="93"/>
      <c r="AQ51" s="95"/>
      <c r="AR51" s="95"/>
      <c r="AS51" s="93"/>
      <c r="AT51" s="95"/>
      <c r="AU51" s="95"/>
      <c r="AV51" s="93"/>
      <c r="AW51" s="95"/>
      <c r="AX51" s="95"/>
    </row>
    <row r="52" spans="1:50" x14ac:dyDescent="0.25">
      <c r="A52" s="12">
        <v>49</v>
      </c>
      <c r="B52" s="52" t="s">
        <v>122</v>
      </c>
      <c r="C52" s="53">
        <v>135</v>
      </c>
      <c r="D52" s="53">
        <v>1</v>
      </c>
      <c r="E52" s="100">
        <v>1</v>
      </c>
      <c r="F52" s="118">
        <v>1</v>
      </c>
      <c r="G52" s="42">
        <v>0</v>
      </c>
      <c r="H52" s="100">
        <f t="shared" si="0"/>
        <v>1</v>
      </c>
      <c r="I52" s="100" t="s">
        <v>266</v>
      </c>
      <c r="J52" s="36"/>
      <c r="K52" s="3"/>
      <c r="U52" s="11"/>
      <c r="V52" s="4"/>
      <c r="W52" s="4"/>
      <c r="X52" s="4"/>
      <c r="Y52" s="98"/>
      <c r="AE52" s="95"/>
      <c r="AF52" s="95"/>
      <c r="AG52" s="93"/>
      <c r="AH52" s="95"/>
      <c r="AI52" s="95"/>
      <c r="AJ52" s="93"/>
      <c r="AK52" s="95">
        <f t="shared" si="3"/>
        <v>118</v>
      </c>
      <c r="AL52" s="95"/>
      <c r="AM52" s="93"/>
      <c r="AN52" s="95"/>
      <c r="AO52" s="95"/>
      <c r="AP52" s="93"/>
      <c r="AQ52" s="95"/>
      <c r="AR52" s="95"/>
      <c r="AS52" s="93"/>
      <c r="AT52" s="95"/>
      <c r="AU52" s="95"/>
      <c r="AV52" s="93"/>
      <c r="AW52" s="95"/>
      <c r="AX52" s="95"/>
    </row>
    <row r="53" spans="1:50" x14ac:dyDescent="0.25">
      <c r="A53" s="12">
        <v>50</v>
      </c>
      <c r="B53" s="52" t="s">
        <v>123</v>
      </c>
      <c r="C53" s="53">
        <v>121</v>
      </c>
      <c r="D53" s="53">
        <v>1</v>
      </c>
      <c r="E53" s="100">
        <v>1</v>
      </c>
      <c r="F53" s="118">
        <v>1</v>
      </c>
      <c r="G53" s="42">
        <v>0</v>
      </c>
      <c r="H53" s="100">
        <f t="shared" si="0"/>
        <v>1</v>
      </c>
      <c r="I53" s="100" t="s">
        <v>264</v>
      </c>
      <c r="J53" s="36"/>
      <c r="K53" s="3"/>
      <c r="U53" s="11"/>
      <c r="V53" s="4"/>
      <c r="W53" s="4"/>
      <c r="X53" s="4"/>
      <c r="Y53" s="98"/>
      <c r="AE53" s="95"/>
      <c r="AF53" s="95"/>
      <c r="AG53" s="93"/>
      <c r="AH53" s="95"/>
      <c r="AI53" s="95"/>
      <c r="AJ53" s="93"/>
      <c r="AK53" s="95">
        <f t="shared" ref="AK53:AK54" si="9">VLOOKUP(AK20,$A$4:$C$288,3,0)</f>
        <v>65</v>
      </c>
      <c r="AL53" s="95"/>
      <c r="AM53" s="93"/>
      <c r="AN53" s="95"/>
      <c r="AO53" s="95"/>
      <c r="AP53" s="93"/>
      <c r="AQ53" s="95"/>
      <c r="AR53" s="95"/>
      <c r="AS53" s="93"/>
      <c r="AT53" s="95"/>
      <c r="AU53" s="95"/>
      <c r="AV53" s="93"/>
      <c r="AW53" s="95"/>
      <c r="AX53" s="95"/>
    </row>
    <row r="54" spans="1:50" x14ac:dyDescent="0.25">
      <c r="A54" s="12">
        <v>51</v>
      </c>
      <c r="B54" s="52" t="s">
        <v>124</v>
      </c>
      <c r="C54" s="53">
        <v>104</v>
      </c>
      <c r="D54" s="53">
        <v>1</v>
      </c>
      <c r="E54" s="100">
        <v>1</v>
      </c>
      <c r="F54" s="118">
        <v>1</v>
      </c>
      <c r="G54" s="42">
        <v>0</v>
      </c>
      <c r="H54" s="100">
        <f t="shared" si="0"/>
        <v>1</v>
      </c>
      <c r="I54" s="100" t="s">
        <v>262</v>
      </c>
      <c r="J54" s="36"/>
      <c r="K54" s="3"/>
      <c r="U54" s="11"/>
      <c r="V54" s="4"/>
      <c r="W54" s="4"/>
      <c r="X54" s="4"/>
      <c r="Y54" s="98"/>
      <c r="AE54" s="95"/>
      <c r="AF54" s="95"/>
      <c r="AG54" s="93"/>
      <c r="AH54" s="95"/>
      <c r="AI54" s="95"/>
      <c r="AJ54" s="93"/>
      <c r="AK54" s="95">
        <f t="shared" si="9"/>
        <v>60</v>
      </c>
      <c r="AL54" s="95"/>
      <c r="AM54" s="93"/>
      <c r="AN54" s="95"/>
      <c r="AO54" s="95"/>
      <c r="AP54" s="93"/>
      <c r="AQ54" s="95"/>
      <c r="AR54" s="95"/>
      <c r="AS54" s="93"/>
      <c r="AT54" s="95"/>
      <c r="AU54" s="95"/>
      <c r="AV54" s="93"/>
      <c r="AW54" s="95"/>
      <c r="AX54" s="95"/>
    </row>
    <row r="55" spans="1:50" x14ac:dyDescent="0.25">
      <c r="A55" s="12">
        <v>52</v>
      </c>
      <c r="B55" s="52" t="s">
        <v>125</v>
      </c>
      <c r="C55" s="53">
        <v>54</v>
      </c>
      <c r="D55" s="53">
        <v>0</v>
      </c>
      <c r="E55" s="100">
        <v>1</v>
      </c>
      <c r="F55" s="118">
        <v>1</v>
      </c>
      <c r="G55" s="42">
        <v>0</v>
      </c>
      <c r="H55" s="100">
        <f t="shared" si="0"/>
        <v>0</v>
      </c>
      <c r="I55" s="100">
        <v>0</v>
      </c>
      <c r="J55" s="36"/>
      <c r="K55" s="3"/>
      <c r="U55" s="11"/>
      <c r="V55" s="4"/>
      <c r="W55" s="4"/>
      <c r="X55" s="4"/>
      <c r="Y55" s="98"/>
    </row>
    <row r="56" spans="1:50" x14ac:dyDescent="0.25">
      <c r="A56" s="12">
        <v>53</v>
      </c>
      <c r="B56" s="52" t="s">
        <v>126</v>
      </c>
      <c r="C56" s="53">
        <v>60</v>
      </c>
      <c r="D56" s="53">
        <v>0</v>
      </c>
      <c r="E56" s="100">
        <v>1</v>
      </c>
      <c r="F56" s="118">
        <v>1</v>
      </c>
      <c r="G56" s="42">
        <v>0</v>
      </c>
      <c r="H56" s="100">
        <f t="shared" si="0"/>
        <v>0</v>
      </c>
      <c r="I56" s="100">
        <v>0</v>
      </c>
      <c r="J56" s="36"/>
      <c r="K56" s="3"/>
      <c r="U56" s="11"/>
      <c r="V56" s="4"/>
      <c r="W56" s="4"/>
      <c r="X56" s="4"/>
      <c r="Y56" s="98"/>
    </row>
    <row r="57" spans="1:50" x14ac:dyDescent="0.25">
      <c r="A57" s="12">
        <v>54</v>
      </c>
      <c r="B57" s="52" t="s">
        <v>127</v>
      </c>
      <c r="C57" s="53">
        <v>67</v>
      </c>
      <c r="D57" s="53">
        <v>1</v>
      </c>
      <c r="E57" s="100">
        <v>1</v>
      </c>
      <c r="F57" s="118">
        <v>1</v>
      </c>
      <c r="G57" s="42">
        <v>0</v>
      </c>
      <c r="H57" s="100">
        <f t="shared" si="0"/>
        <v>1</v>
      </c>
      <c r="I57" s="100">
        <v>0</v>
      </c>
      <c r="J57" s="36"/>
      <c r="K57" s="3"/>
      <c r="U57" s="11"/>
      <c r="V57" s="4"/>
      <c r="W57" s="4"/>
      <c r="X57" s="4"/>
      <c r="Y57" s="98"/>
    </row>
    <row r="58" spans="1:50" x14ac:dyDescent="0.25">
      <c r="A58" s="12">
        <v>55</v>
      </c>
      <c r="B58" s="52" t="s">
        <v>128</v>
      </c>
      <c r="C58" s="53">
        <v>60</v>
      </c>
      <c r="D58" s="53">
        <v>0</v>
      </c>
      <c r="E58" s="100">
        <v>1</v>
      </c>
      <c r="F58" s="118">
        <v>1</v>
      </c>
      <c r="G58" s="42">
        <v>0</v>
      </c>
      <c r="H58" s="100">
        <f t="shared" si="0"/>
        <v>0</v>
      </c>
      <c r="I58" s="100">
        <v>0</v>
      </c>
      <c r="J58" s="36"/>
      <c r="K58" s="3"/>
      <c r="U58" s="11"/>
      <c r="V58" s="4"/>
      <c r="W58" s="4"/>
      <c r="X58" s="4"/>
      <c r="Y58" s="98"/>
    </row>
    <row r="59" spans="1:50" x14ac:dyDescent="0.25">
      <c r="A59" s="12">
        <v>56</v>
      </c>
      <c r="B59" s="52" t="s">
        <v>129</v>
      </c>
      <c r="C59" s="53">
        <v>127</v>
      </c>
      <c r="D59" s="53">
        <v>1</v>
      </c>
      <c r="E59" s="100">
        <v>1</v>
      </c>
      <c r="F59" s="118">
        <v>1</v>
      </c>
      <c r="G59" s="42">
        <v>0</v>
      </c>
      <c r="H59" s="100">
        <f t="shared" si="0"/>
        <v>1</v>
      </c>
      <c r="I59" s="100">
        <v>0</v>
      </c>
      <c r="J59" s="36"/>
      <c r="K59" s="3"/>
      <c r="U59" s="11"/>
      <c r="V59" s="4"/>
      <c r="W59" s="4"/>
      <c r="X59" s="4"/>
      <c r="Y59" s="98"/>
    </row>
    <row r="60" spans="1:50" x14ac:dyDescent="0.25">
      <c r="A60" s="12">
        <v>57</v>
      </c>
      <c r="B60" s="52" t="s">
        <v>130</v>
      </c>
      <c r="C60" s="53">
        <v>175</v>
      </c>
      <c r="D60" s="53">
        <v>1</v>
      </c>
      <c r="E60" s="100">
        <v>1</v>
      </c>
      <c r="F60" s="118">
        <v>1</v>
      </c>
      <c r="G60" s="42">
        <v>0</v>
      </c>
      <c r="H60" s="100">
        <f t="shared" si="0"/>
        <v>1</v>
      </c>
      <c r="I60" s="100">
        <v>0</v>
      </c>
      <c r="J60" s="36"/>
      <c r="U60" s="11"/>
      <c r="V60" s="4"/>
      <c r="W60" s="4"/>
      <c r="X60" s="4"/>
      <c r="Y60" s="98"/>
    </row>
    <row r="61" spans="1:50" x14ac:dyDescent="0.25">
      <c r="A61" s="12">
        <v>58</v>
      </c>
      <c r="B61" s="52" t="s">
        <v>131</v>
      </c>
      <c r="C61" s="53">
        <v>64</v>
      </c>
      <c r="D61" s="53">
        <v>0</v>
      </c>
      <c r="E61" s="100">
        <v>1</v>
      </c>
      <c r="F61" s="118">
        <v>1</v>
      </c>
      <c r="G61" s="42">
        <v>0</v>
      </c>
      <c r="H61" s="100">
        <f t="shared" si="0"/>
        <v>0</v>
      </c>
      <c r="I61" s="100">
        <v>0</v>
      </c>
      <c r="J61" s="36"/>
      <c r="U61" s="11"/>
      <c r="V61" s="4"/>
      <c r="W61" s="4"/>
      <c r="X61" s="4"/>
      <c r="Y61" s="98"/>
    </row>
    <row r="62" spans="1:50" x14ac:dyDescent="0.25">
      <c r="A62" s="12">
        <v>59</v>
      </c>
      <c r="B62" s="52" t="s">
        <v>132</v>
      </c>
      <c r="C62" s="53">
        <v>56</v>
      </c>
      <c r="D62" s="53">
        <v>0</v>
      </c>
      <c r="E62" s="100">
        <v>1</v>
      </c>
      <c r="F62" s="118">
        <v>1</v>
      </c>
      <c r="G62" s="42">
        <v>0</v>
      </c>
      <c r="H62" s="100">
        <f t="shared" si="0"/>
        <v>0</v>
      </c>
      <c r="I62" s="100">
        <v>0</v>
      </c>
      <c r="J62" s="36"/>
      <c r="U62" s="11"/>
      <c r="V62" s="4"/>
      <c r="W62" s="4"/>
      <c r="X62" s="4"/>
      <c r="Y62" s="98"/>
    </row>
    <row r="63" spans="1:50" x14ac:dyDescent="0.25">
      <c r="A63" s="12">
        <v>60</v>
      </c>
      <c r="B63" s="52" t="s">
        <v>133</v>
      </c>
      <c r="C63" s="53">
        <v>29</v>
      </c>
      <c r="D63" s="53">
        <v>0</v>
      </c>
      <c r="E63" s="100">
        <v>1</v>
      </c>
      <c r="F63" s="118">
        <v>1</v>
      </c>
      <c r="G63" s="42">
        <v>1</v>
      </c>
      <c r="H63" s="100">
        <f t="shared" si="0"/>
        <v>1</v>
      </c>
      <c r="I63" s="100">
        <v>0</v>
      </c>
      <c r="J63" s="36"/>
      <c r="U63" s="11"/>
      <c r="V63" s="4"/>
      <c r="W63" s="4"/>
      <c r="X63" s="4"/>
      <c r="Y63" s="98"/>
    </row>
    <row r="64" spans="1:50" x14ac:dyDescent="0.25">
      <c r="A64" s="12">
        <v>61</v>
      </c>
      <c r="B64" s="52" t="s">
        <v>134</v>
      </c>
      <c r="C64" s="53">
        <v>27</v>
      </c>
      <c r="D64" s="53">
        <v>0</v>
      </c>
      <c r="E64" s="100">
        <v>1</v>
      </c>
      <c r="F64" s="118">
        <v>1</v>
      </c>
      <c r="G64" s="42">
        <v>1</v>
      </c>
      <c r="H64" s="100">
        <f t="shared" si="0"/>
        <v>1</v>
      </c>
      <c r="I64" s="100">
        <v>0</v>
      </c>
      <c r="J64" s="36"/>
      <c r="U64" s="11"/>
      <c r="V64" s="4"/>
      <c r="W64" s="4"/>
      <c r="X64" s="4"/>
      <c r="Y64" s="98"/>
    </row>
    <row r="65" spans="1:50" x14ac:dyDescent="0.25">
      <c r="A65" s="12">
        <v>62</v>
      </c>
      <c r="B65" s="52" t="s">
        <v>135</v>
      </c>
      <c r="C65" s="53">
        <v>28</v>
      </c>
      <c r="D65" s="53">
        <v>0</v>
      </c>
      <c r="E65" s="100">
        <v>1</v>
      </c>
      <c r="F65" s="118">
        <v>1</v>
      </c>
      <c r="G65" s="42">
        <v>1</v>
      </c>
      <c r="H65" s="100">
        <f t="shared" si="0"/>
        <v>1</v>
      </c>
      <c r="I65" s="100">
        <v>0</v>
      </c>
      <c r="J65" s="36"/>
      <c r="U65" s="11"/>
      <c r="V65" s="4"/>
      <c r="W65" s="4"/>
      <c r="X65" s="4"/>
      <c r="Y65" s="98"/>
    </row>
    <row r="66" spans="1:50" x14ac:dyDescent="0.25">
      <c r="A66" s="12">
        <v>63</v>
      </c>
      <c r="B66" s="52" t="s">
        <v>136</v>
      </c>
      <c r="C66" s="53">
        <v>29</v>
      </c>
      <c r="D66" s="53">
        <v>0</v>
      </c>
      <c r="E66" s="100">
        <v>1</v>
      </c>
      <c r="F66" s="118">
        <v>1</v>
      </c>
      <c r="G66" s="42">
        <v>1</v>
      </c>
      <c r="H66" s="100">
        <f t="shared" si="0"/>
        <v>1</v>
      </c>
      <c r="I66" s="100">
        <v>0</v>
      </c>
      <c r="J66" s="36"/>
      <c r="U66" s="11"/>
      <c r="V66" s="4"/>
      <c r="W66" s="4"/>
      <c r="X66" s="4"/>
      <c r="Y66" s="98"/>
      <c r="AX66" s="3"/>
    </row>
    <row r="67" spans="1:50" x14ac:dyDescent="0.25">
      <c r="A67" s="12">
        <v>64</v>
      </c>
      <c r="B67" s="52" t="s">
        <v>137</v>
      </c>
      <c r="C67" s="53">
        <v>118</v>
      </c>
      <c r="D67" s="53">
        <v>1</v>
      </c>
      <c r="E67" s="100">
        <v>1</v>
      </c>
      <c r="F67" s="118">
        <v>1</v>
      </c>
      <c r="G67" s="42">
        <v>0</v>
      </c>
      <c r="H67" s="100">
        <f t="shared" si="0"/>
        <v>1</v>
      </c>
      <c r="I67" s="100">
        <v>0</v>
      </c>
      <c r="J67" s="36"/>
      <c r="U67" s="11"/>
      <c r="V67" s="4"/>
      <c r="W67" s="4"/>
      <c r="X67" s="4"/>
      <c r="Y67" s="98"/>
      <c r="AX67" s="3"/>
    </row>
    <row r="68" spans="1:50" x14ac:dyDescent="0.25">
      <c r="A68" s="12">
        <v>65</v>
      </c>
      <c r="B68" s="52" t="s">
        <v>138</v>
      </c>
      <c r="C68" s="53">
        <v>65</v>
      </c>
      <c r="D68" s="53">
        <v>0</v>
      </c>
      <c r="E68" s="100">
        <v>1</v>
      </c>
      <c r="F68" s="118">
        <v>1</v>
      </c>
      <c r="G68" s="42">
        <v>0</v>
      </c>
      <c r="H68" s="100">
        <f t="shared" si="0"/>
        <v>0</v>
      </c>
      <c r="I68" s="100">
        <v>0</v>
      </c>
      <c r="J68" s="36"/>
      <c r="U68" s="11"/>
      <c r="V68" s="4"/>
      <c r="W68" s="4"/>
      <c r="X68" s="4"/>
      <c r="Y68" s="98"/>
      <c r="AX68" s="3"/>
    </row>
    <row r="69" spans="1:50" x14ac:dyDescent="0.25">
      <c r="A69" s="12">
        <v>66</v>
      </c>
      <c r="B69" s="52" t="s">
        <v>139</v>
      </c>
      <c r="C69" s="53">
        <v>60</v>
      </c>
      <c r="D69" s="53">
        <v>0</v>
      </c>
      <c r="E69" s="100">
        <v>1</v>
      </c>
      <c r="F69" s="118">
        <v>1</v>
      </c>
      <c r="G69" s="42">
        <v>0</v>
      </c>
      <c r="H69" s="100">
        <f t="shared" ref="H69:H132" si="10">IF(G69=0,IF(C69&lt;67,0,1),IF(C69&lt;26,0,1))</f>
        <v>0</v>
      </c>
      <c r="I69" s="100">
        <v>0</v>
      </c>
      <c r="J69" s="36"/>
      <c r="U69" s="11"/>
      <c r="V69" s="4"/>
      <c r="W69" s="4"/>
      <c r="X69" s="4"/>
      <c r="Y69" s="98"/>
      <c r="AX69" s="3"/>
    </row>
    <row r="70" spans="1:50" x14ac:dyDescent="0.25">
      <c r="A70" s="12">
        <v>67</v>
      </c>
      <c r="B70" s="54" t="s">
        <v>140</v>
      </c>
      <c r="C70" s="55">
        <v>94</v>
      </c>
      <c r="D70" s="55">
        <v>1</v>
      </c>
      <c r="E70" s="100">
        <v>1</v>
      </c>
      <c r="F70" s="118">
        <v>1</v>
      </c>
      <c r="G70" s="42">
        <v>0</v>
      </c>
      <c r="H70" s="100">
        <f t="shared" si="10"/>
        <v>1</v>
      </c>
      <c r="I70" s="100">
        <v>0</v>
      </c>
      <c r="J70" s="36"/>
      <c r="U70" s="11"/>
      <c r="V70" s="4"/>
      <c r="W70" s="4"/>
      <c r="X70" s="4"/>
      <c r="Y70" s="98"/>
      <c r="AX70" s="2"/>
    </row>
    <row r="71" spans="1:50" x14ac:dyDescent="0.25">
      <c r="A71" s="12">
        <v>68</v>
      </c>
      <c r="B71" s="54" t="s">
        <v>141</v>
      </c>
      <c r="C71" s="55">
        <v>57</v>
      </c>
      <c r="D71" s="55">
        <v>0</v>
      </c>
      <c r="E71" s="100">
        <v>1</v>
      </c>
      <c r="F71" s="118">
        <v>1</v>
      </c>
      <c r="G71" s="42">
        <v>0</v>
      </c>
      <c r="H71" s="100">
        <f t="shared" si="10"/>
        <v>0</v>
      </c>
      <c r="I71" s="100">
        <v>0</v>
      </c>
      <c r="J71" s="36"/>
      <c r="U71" s="11"/>
      <c r="V71" s="4"/>
      <c r="W71" s="4"/>
      <c r="X71" s="4"/>
      <c r="Y71" s="98"/>
    </row>
    <row r="72" spans="1:50" x14ac:dyDescent="0.25">
      <c r="A72" s="12">
        <v>69</v>
      </c>
      <c r="B72" s="54" t="s">
        <v>142</v>
      </c>
      <c r="C72" s="55">
        <v>37</v>
      </c>
      <c r="D72" s="55">
        <v>0</v>
      </c>
      <c r="E72" s="100">
        <v>1</v>
      </c>
      <c r="F72" s="118">
        <v>1</v>
      </c>
      <c r="G72" s="42">
        <v>0</v>
      </c>
      <c r="H72" s="100">
        <f t="shared" si="10"/>
        <v>0</v>
      </c>
      <c r="I72" s="100">
        <v>0</v>
      </c>
      <c r="J72" s="36"/>
      <c r="U72" s="11"/>
      <c r="V72" s="4"/>
      <c r="W72" s="4"/>
      <c r="X72" s="4"/>
      <c r="Y72" s="98"/>
    </row>
    <row r="73" spans="1:50" x14ac:dyDescent="0.25">
      <c r="A73" s="12">
        <v>70</v>
      </c>
      <c r="B73" s="54" t="s">
        <v>143</v>
      </c>
      <c r="C73" s="55">
        <v>98</v>
      </c>
      <c r="D73" s="55">
        <v>1</v>
      </c>
      <c r="E73" s="100">
        <v>1</v>
      </c>
      <c r="F73" s="118">
        <v>1</v>
      </c>
      <c r="G73" s="42">
        <v>0</v>
      </c>
      <c r="H73" s="100">
        <f t="shared" si="10"/>
        <v>1</v>
      </c>
      <c r="I73" s="100">
        <v>0</v>
      </c>
      <c r="J73" s="36"/>
      <c r="U73" s="11"/>
      <c r="V73" s="4"/>
      <c r="W73" s="4"/>
      <c r="X73" s="4"/>
      <c r="Y73" s="98"/>
    </row>
    <row r="74" spans="1:50" x14ac:dyDescent="0.25">
      <c r="A74" s="12">
        <v>71</v>
      </c>
      <c r="B74" s="54" t="s">
        <v>144</v>
      </c>
      <c r="C74" s="55">
        <v>92</v>
      </c>
      <c r="D74" s="55">
        <v>1</v>
      </c>
      <c r="E74" s="100">
        <v>1</v>
      </c>
      <c r="F74" s="118">
        <v>1</v>
      </c>
      <c r="G74" s="42">
        <v>0</v>
      </c>
      <c r="H74" s="100">
        <f t="shared" si="10"/>
        <v>1</v>
      </c>
      <c r="I74" s="100">
        <v>0</v>
      </c>
      <c r="J74" s="36"/>
      <c r="U74" s="11"/>
      <c r="V74" s="4"/>
      <c r="W74" s="4"/>
      <c r="X74" s="4"/>
      <c r="Y74" s="98"/>
    </row>
    <row r="75" spans="1:50" x14ac:dyDescent="0.25">
      <c r="A75" s="12">
        <v>72</v>
      </c>
      <c r="B75" s="54" t="s">
        <v>145</v>
      </c>
      <c r="C75" s="55">
        <v>68</v>
      </c>
      <c r="D75" s="55">
        <v>1</v>
      </c>
      <c r="E75" s="100">
        <v>1</v>
      </c>
      <c r="F75" s="118">
        <v>1</v>
      </c>
      <c r="G75" s="42">
        <v>0</v>
      </c>
      <c r="H75" s="100">
        <f t="shared" si="10"/>
        <v>1</v>
      </c>
      <c r="I75" s="100">
        <v>0</v>
      </c>
      <c r="J75" s="36"/>
      <c r="U75" s="11"/>
      <c r="V75" s="4"/>
      <c r="W75" s="4"/>
      <c r="X75" s="4"/>
      <c r="Y75" s="98"/>
    </row>
    <row r="76" spans="1:50" x14ac:dyDescent="0.25">
      <c r="A76" s="12">
        <v>73</v>
      </c>
      <c r="B76" s="54" t="s">
        <v>146</v>
      </c>
      <c r="C76" s="55">
        <v>93</v>
      </c>
      <c r="D76" s="55">
        <v>1</v>
      </c>
      <c r="E76" s="100">
        <v>1</v>
      </c>
      <c r="F76" s="118">
        <v>1</v>
      </c>
      <c r="G76" s="42">
        <v>0</v>
      </c>
      <c r="H76" s="100">
        <f t="shared" si="10"/>
        <v>1</v>
      </c>
      <c r="I76" s="100">
        <v>0</v>
      </c>
      <c r="J76" s="36"/>
      <c r="U76" s="11"/>
      <c r="V76" s="4"/>
      <c r="W76" s="4"/>
      <c r="X76" s="4"/>
      <c r="Y76" s="98"/>
    </row>
    <row r="77" spans="1:50" x14ac:dyDescent="0.25">
      <c r="A77" s="12">
        <v>74</v>
      </c>
      <c r="B77" s="54" t="s">
        <v>147</v>
      </c>
      <c r="C77" s="55">
        <v>61</v>
      </c>
      <c r="D77" s="55">
        <v>0</v>
      </c>
      <c r="E77" s="100">
        <v>1</v>
      </c>
      <c r="F77" s="118">
        <v>1</v>
      </c>
      <c r="G77" s="42">
        <v>0</v>
      </c>
      <c r="H77" s="100">
        <f t="shared" si="10"/>
        <v>0</v>
      </c>
      <c r="I77" s="100">
        <v>0</v>
      </c>
      <c r="J77" s="36"/>
      <c r="U77" s="11"/>
      <c r="V77" s="4"/>
      <c r="W77" s="4"/>
      <c r="X77" s="4"/>
      <c r="Y77" s="98"/>
    </row>
    <row r="78" spans="1:50" x14ac:dyDescent="0.25">
      <c r="A78" s="12">
        <v>75</v>
      </c>
      <c r="B78" s="54" t="s">
        <v>148</v>
      </c>
      <c r="C78" s="55">
        <v>66</v>
      </c>
      <c r="D78" s="55">
        <v>0</v>
      </c>
      <c r="E78" s="100">
        <v>1</v>
      </c>
      <c r="F78" s="118">
        <v>1</v>
      </c>
      <c r="G78" s="42">
        <v>0</v>
      </c>
      <c r="H78" s="100">
        <f t="shared" si="10"/>
        <v>0</v>
      </c>
      <c r="I78" s="100">
        <v>0</v>
      </c>
      <c r="J78" s="36"/>
      <c r="U78" s="11"/>
      <c r="V78" s="4"/>
      <c r="W78" s="4"/>
      <c r="X78" s="4"/>
      <c r="Y78" s="98"/>
    </row>
    <row r="79" spans="1:50" x14ac:dyDescent="0.25">
      <c r="A79" s="12">
        <v>76</v>
      </c>
      <c r="B79" s="54" t="s">
        <v>149</v>
      </c>
      <c r="C79" s="55">
        <v>65</v>
      </c>
      <c r="D79" s="55">
        <v>0</v>
      </c>
      <c r="E79" s="100">
        <v>1</v>
      </c>
      <c r="F79" s="118">
        <v>1</v>
      </c>
      <c r="G79" s="42">
        <v>0</v>
      </c>
      <c r="H79" s="100">
        <f t="shared" si="10"/>
        <v>0</v>
      </c>
      <c r="I79" s="100">
        <v>0</v>
      </c>
      <c r="J79" s="36"/>
      <c r="U79" s="11"/>
      <c r="V79" s="4"/>
      <c r="W79" s="4"/>
      <c r="X79" s="4"/>
      <c r="Y79" s="98"/>
    </row>
    <row r="80" spans="1:50" x14ac:dyDescent="0.25">
      <c r="A80" s="12">
        <v>77</v>
      </c>
      <c r="B80" s="54" t="s">
        <v>150</v>
      </c>
      <c r="C80" s="55">
        <v>26</v>
      </c>
      <c r="D80" s="55">
        <v>0</v>
      </c>
      <c r="E80" s="100">
        <v>1</v>
      </c>
      <c r="F80" s="118">
        <v>1</v>
      </c>
      <c r="G80" s="42">
        <v>0</v>
      </c>
      <c r="H80" s="100">
        <f t="shared" si="10"/>
        <v>0</v>
      </c>
      <c r="I80" s="100">
        <v>0</v>
      </c>
      <c r="J80" s="36"/>
      <c r="U80" s="11"/>
      <c r="V80" s="4"/>
      <c r="W80" s="4"/>
      <c r="X80" s="4"/>
      <c r="Y80" s="98"/>
    </row>
    <row r="81" spans="1:25" x14ac:dyDescent="0.25">
      <c r="A81" s="12">
        <v>78</v>
      </c>
      <c r="B81" s="54" t="s">
        <v>151</v>
      </c>
      <c r="C81" s="55">
        <v>27</v>
      </c>
      <c r="D81" s="55">
        <v>0</v>
      </c>
      <c r="E81" s="100">
        <v>1</v>
      </c>
      <c r="F81" s="118">
        <v>1</v>
      </c>
      <c r="G81" s="42">
        <v>0</v>
      </c>
      <c r="H81" s="100">
        <f t="shared" si="10"/>
        <v>0</v>
      </c>
      <c r="I81" s="100">
        <v>0</v>
      </c>
      <c r="J81" s="36"/>
      <c r="U81" s="11"/>
      <c r="V81" s="4"/>
      <c r="W81" s="4"/>
      <c r="X81" s="4"/>
      <c r="Y81" s="98"/>
    </row>
    <row r="82" spans="1:25" x14ac:dyDescent="0.25">
      <c r="A82" s="12">
        <v>79</v>
      </c>
      <c r="B82" s="54" t="s">
        <v>152</v>
      </c>
      <c r="C82" s="55">
        <v>28</v>
      </c>
      <c r="D82" s="55">
        <v>0</v>
      </c>
      <c r="E82" s="100">
        <v>1</v>
      </c>
      <c r="F82" s="118">
        <v>1</v>
      </c>
      <c r="G82" s="42">
        <v>0</v>
      </c>
      <c r="H82" s="100">
        <f t="shared" si="10"/>
        <v>0</v>
      </c>
      <c r="I82" s="100">
        <v>0</v>
      </c>
      <c r="J82" s="36"/>
      <c r="U82" s="11"/>
      <c r="V82" s="4"/>
      <c r="W82" s="4"/>
      <c r="X82" s="4"/>
      <c r="Y82" s="98"/>
    </row>
    <row r="83" spans="1:25" x14ac:dyDescent="0.25">
      <c r="A83" s="12">
        <v>80</v>
      </c>
      <c r="B83" s="54" t="s">
        <v>153</v>
      </c>
      <c r="C83" s="55">
        <v>26</v>
      </c>
      <c r="D83" s="55">
        <v>0</v>
      </c>
      <c r="E83" s="100">
        <v>1</v>
      </c>
      <c r="F83" s="118">
        <v>1</v>
      </c>
      <c r="G83" s="42">
        <v>0</v>
      </c>
      <c r="H83" s="100">
        <f t="shared" si="10"/>
        <v>0</v>
      </c>
      <c r="I83" s="100">
        <v>0</v>
      </c>
      <c r="J83" s="36"/>
      <c r="U83" s="11"/>
      <c r="V83" s="4"/>
      <c r="W83" s="4"/>
      <c r="X83" s="4"/>
      <c r="Y83" s="98"/>
    </row>
    <row r="84" spans="1:25" x14ac:dyDescent="0.25">
      <c r="A84" s="12">
        <v>81</v>
      </c>
      <c r="B84" s="54" t="s">
        <v>154</v>
      </c>
      <c r="C84" s="55">
        <v>26</v>
      </c>
      <c r="D84" s="55">
        <v>0</v>
      </c>
      <c r="E84" s="100">
        <v>1</v>
      </c>
      <c r="F84" s="118">
        <v>1</v>
      </c>
      <c r="G84" s="42">
        <v>0</v>
      </c>
      <c r="H84" s="100">
        <f t="shared" si="10"/>
        <v>0</v>
      </c>
      <c r="I84" s="100">
        <v>0</v>
      </c>
      <c r="J84" s="36"/>
      <c r="U84" s="11"/>
      <c r="V84" s="4"/>
      <c r="W84" s="4"/>
      <c r="X84" s="4"/>
      <c r="Y84" s="98"/>
    </row>
    <row r="85" spans="1:25" x14ac:dyDescent="0.25">
      <c r="A85" s="12">
        <v>82</v>
      </c>
      <c r="B85" s="56" t="s">
        <v>155</v>
      </c>
      <c r="C85" s="57">
        <v>89</v>
      </c>
      <c r="D85" s="57">
        <v>1</v>
      </c>
      <c r="E85" s="100">
        <v>1</v>
      </c>
      <c r="F85" s="118">
        <v>1</v>
      </c>
      <c r="G85" s="42">
        <v>0</v>
      </c>
      <c r="H85" s="100">
        <f t="shared" si="10"/>
        <v>1</v>
      </c>
      <c r="I85" s="100">
        <v>0</v>
      </c>
      <c r="J85" s="36"/>
      <c r="U85" s="11"/>
      <c r="V85" s="4"/>
      <c r="W85" s="4"/>
      <c r="X85" s="4"/>
      <c r="Y85" s="98"/>
    </row>
    <row r="86" spans="1:25" x14ac:dyDescent="0.25">
      <c r="A86" s="12">
        <v>83</v>
      </c>
      <c r="B86" s="56" t="s">
        <v>156</v>
      </c>
      <c r="C86" s="57">
        <v>67</v>
      </c>
      <c r="D86" s="57">
        <v>1</v>
      </c>
      <c r="E86" s="100">
        <v>1</v>
      </c>
      <c r="F86" s="118">
        <v>1</v>
      </c>
      <c r="G86" s="42">
        <v>0</v>
      </c>
      <c r="H86" s="100">
        <f t="shared" si="10"/>
        <v>1</v>
      </c>
      <c r="I86" s="100" t="s">
        <v>266</v>
      </c>
      <c r="J86" s="36"/>
      <c r="U86" s="11"/>
      <c r="V86" s="4"/>
      <c r="W86" s="4"/>
      <c r="X86" s="4"/>
      <c r="Y86" s="98"/>
    </row>
    <row r="87" spans="1:25" x14ac:dyDescent="0.25">
      <c r="A87" s="12">
        <v>84</v>
      </c>
      <c r="B87" s="58" t="s">
        <v>157</v>
      </c>
      <c r="C87" s="57">
        <v>67</v>
      </c>
      <c r="D87" s="57">
        <v>1</v>
      </c>
      <c r="E87" s="100">
        <v>1</v>
      </c>
      <c r="F87" s="118">
        <v>1</v>
      </c>
      <c r="G87" s="42">
        <v>0</v>
      </c>
      <c r="H87" s="100">
        <f t="shared" si="10"/>
        <v>1</v>
      </c>
      <c r="I87" s="100" t="s">
        <v>264</v>
      </c>
      <c r="J87" s="36"/>
      <c r="U87" s="11"/>
      <c r="V87" s="4"/>
      <c r="W87" s="4"/>
      <c r="X87" s="4"/>
      <c r="Y87" s="98"/>
    </row>
    <row r="88" spans="1:25" x14ac:dyDescent="0.25">
      <c r="A88" s="12">
        <v>85</v>
      </c>
      <c r="B88" s="58" t="s">
        <v>158</v>
      </c>
      <c r="C88" s="57">
        <v>77</v>
      </c>
      <c r="D88" s="57">
        <v>1</v>
      </c>
      <c r="E88" s="100">
        <v>1</v>
      </c>
      <c r="F88" s="118">
        <v>1</v>
      </c>
      <c r="G88" s="42">
        <v>0</v>
      </c>
      <c r="H88" s="100">
        <f t="shared" si="10"/>
        <v>1</v>
      </c>
      <c r="I88" s="100">
        <v>0</v>
      </c>
      <c r="J88" s="36"/>
      <c r="U88" s="11"/>
      <c r="V88" s="4"/>
      <c r="W88" s="4"/>
      <c r="X88" s="4"/>
      <c r="Y88" s="98"/>
    </row>
    <row r="89" spans="1:25" x14ac:dyDescent="0.25">
      <c r="A89" s="12">
        <v>86</v>
      </c>
      <c r="B89" s="56" t="s">
        <v>159</v>
      </c>
      <c r="C89" s="57">
        <v>113</v>
      </c>
      <c r="D89" s="57">
        <v>1</v>
      </c>
      <c r="E89" s="100">
        <v>1</v>
      </c>
      <c r="F89" s="118">
        <v>1</v>
      </c>
      <c r="G89" s="42">
        <v>0</v>
      </c>
      <c r="H89" s="100">
        <f t="shared" si="10"/>
        <v>1</v>
      </c>
      <c r="I89" s="100">
        <v>0</v>
      </c>
      <c r="J89" s="36"/>
      <c r="U89" s="11"/>
      <c r="V89" s="4"/>
      <c r="W89" s="4"/>
      <c r="X89" s="4"/>
      <c r="Y89" s="98"/>
    </row>
    <row r="90" spans="1:25" x14ac:dyDescent="0.25">
      <c r="A90" s="12">
        <v>87</v>
      </c>
      <c r="B90" s="58" t="s">
        <v>160</v>
      </c>
      <c r="C90" s="57">
        <v>35</v>
      </c>
      <c r="D90" s="57">
        <v>0</v>
      </c>
      <c r="E90" s="100">
        <v>1</v>
      </c>
      <c r="F90" s="118">
        <v>1</v>
      </c>
      <c r="G90" s="42">
        <v>0</v>
      </c>
      <c r="H90" s="100">
        <f t="shared" si="10"/>
        <v>0</v>
      </c>
      <c r="I90" s="100">
        <v>0</v>
      </c>
      <c r="J90" s="36"/>
      <c r="U90" s="11"/>
      <c r="V90" s="4"/>
      <c r="W90" s="4"/>
      <c r="X90" s="4"/>
      <c r="Y90" s="98"/>
    </row>
    <row r="91" spans="1:25" x14ac:dyDescent="0.25">
      <c r="A91" s="12">
        <v>88</v>
      </c>
      <c r="B91" s="56" t="s">
        <v>161</v>
      </c>
      <c r="C91" s="57">
        <v>49</v>
      </c>
      <c r="D91" s="57">
        <v>0</v>
      </c>
      <c r="E91" s="100">
        <v>1</v>
      </c>
      <c r="F91" s="118">
        <v>1</v>
      </c>
      <c r="G91" s="42">
        <v>0</v>
      </c>
      <c r="H91" s="100">
        <f t="shared" si="10"/>
        <v>0</v>
      </c>
      <c r="I91" s="100">
        <v>0</v>
      </c>
      <c r="J91" s="36"/>
      <c r="U91" s="11"/>
      <c r="V91" s="4"/>
      <c r="W91" s="4"/>
      <c r="X91" s="4"/>
      <c r="Y91" s="98"/>
    </row>
    <row r="92" spans="1:25" x14ac:dyDescent="0.25">
      <c r="A92" s="12">
        <v>89</v>
      </c>
      <c r="B92" s="58" t="s">
        <v>162</v>
      </c>
      <c r="C92" s="57">
        <v>75</v>
      </c>
      <c r="D92" s="57">
        <v>1</v>
      </c>
      <c r="E92" s="100">
        <v>1</v>
      </c>
      <c r="F92" s="118">
        <v>1</v>
      </c>
      <c r="G92" s="42">
        <v>0</v>
      </c>
      <c r="H92" s="100">
        <f t="shared" si="10"/>
        <v>1</v>
      </c>
      <c r="I92" s="100" t="s">
        <v>262</v>
      </c>
      <c r="J92" s="36"/>
      <c r="U92" s="11"/>
      <c r="V92" s="4"/>
      <c r="W92" s="4"/>
      <c r="X92" s="4"/>
      <c r="Y92" s="98"/>
    </row>
    <row r="93" spans="1:25" x14ac:dyDescent="0.25">
      <c r="A93" s="12">
        <v>90</v>
      </c>
      <c r="B93" s="56" t="s">
        <v>163</v>
      </c>
      <c r="C93" s="57">
        <v>98</v>
      </c>
      <c r="D93" s="57">
        <v>1</v>
      </c>
      <c r="E93" s="100">
        <v>1</v>
      </c>
      <c r="F93" s="118">
        <v>1</v>
      </c>
      <c r="G93" s="42">
        <v>0</v>
      </c>
      <c r="H93" s="100">
        <f t="shared" si="10"/>
        <v>1</v>
      </c>
      <c r="I93" s="100">
        <v>0</v>
      </c>
      <c r="J93" s="36"/>
      <c r="U93" s="11"/>
      <c r="V93" s="4"/>
      <c r="W93" s="4"/>
      <c r="X93" s="4"/>
      <c r="Y93" s="98"/>
    </row>
    <row r="94" spans="1:25" x14ac:dyDescent="0.25">
      <c r="A94" s="12">
        <v>91</v>
      </c>
      <c r="B94" s="58" t="s">
        <v>164</v>
      </c>
      <c r="C94" s="57">
        <v>109</v>
      </c>
      <c r="D94" s="57">
        <v>1</v>
      </c>
      <c r="E94" s="100">
        <v>1</v>
      </c>
      <c r="F94" s="118">
        <v>1</v>
      </c>
      <c r="G94" s="42">
        <v>0</v>
      </c>
      <c r="H94" s="100">
        <f t="shared" si="10"/>
        <v>1</v>
      </c>
      <c r="I94" s="100">
        <v>0</v>
      </c>
      <c r="J94" s="36"/>
      <c r="U94" s="11"/>
      <c r="V94" s="4"/>
      <c r="W94" s="4"/>
      <c r="X94" s="4"/>
      <c r="Y94" s="98"/>
    </row>
    <row r="95" spans="1:25" x14ac:dyDescent="0.25">
      <c r="A95" s="12">
        <v>92</v>
      </c>
      <c r="B95" s="56" t="s">
        <v>165</v>
      </c>
      <c r="C95" s="57">
        <v>29</v>
      </c>
      <c r="D95" s="57">
        <v>0</v>
      </c>
      <c r="E95" s="100">
        <v>1</v>
      </c>
      <c r="F95" s="118">
        <v>1</v>
      </c>
      <c r="G95" s="42">
        <v>0</v>
      </c>
      <c r="H95" s="100">
        <f t="shared" si="10"/>
        <v>0</v>
      </c>
      <c r="I95" s="100">
        <v>0</v>
      </c>
      <c r="J95" s="36"/>
      <c r="U95" s="11"/>
      <c r="V95" s="4"/>
      <c r="W95" s="4"/>
      <c r="X95" s="4"/>
      <c r="Y95" s="98"/>
    </row>
    <row r="96" spans="1:25" x14ac:dyDescent="0.25">
      <c r="A96" s="12">
        <v>93</v>
      </c>
      <c r="B96" s="58" t="s">
        <v>166</v>
      </c>
      <c r="C96" s="57">
        <v>39</v>
      </c>
      <c r="D96" s="57">
        <v>0</v>
      </c>
      <c r="E96" s="100">
        <v>1</v>
      </c>
      <c r="F96" s="118">
        <v>1</v>
      </c>
      <c r="G96" s="42">
        <v>0</v>
      </c>
      <c r="H96" s="100">
        <f t="shared" si="10"/>
        <v>0</v>
      </c>
      <c r="I96" s="100">
        <v>0</v>
      </c>
      <c r="J96" s="36"/>
      <c r="U96" s="11"/>
      <c r="V96" s="4"/>
      <c r="W96" s="4"/>
      <c r="X96" s="4"/>
      <c r="Y96" s="98"/>
    </row>
    <row r="97" spans="1:25" x14ac:dyDescent="0.25">
      <c r="A97" s="12">
        <v>94</v>
      </c>
      <c r="B97" s="56" t="s">
        <v>167</v>
      </c>
      <c r="C97" s="57">
        <v>30</v>
      </c>
      <c r="D97" s="57">
        <v>0</v>
      </c>
      <c r="E97" s="100">
        <v>1</v>
      </c>
      <c r="F97" s="118">
        <v>1</v>
      </c>
      <c r="G97" s="42">
        <v>0</v>
      </c>
      <c r="H97" s="100">
        <f t="shared" si="10"/>
        <v>0</v>
      </c>
      <c r="I97" s="100">
        <v>0</v>
      </c>
      <c r="J97" s="36"/>
      <c r="U97" s="11"/>
      <c r="V97" s="4"/>
      <c r="W97" s="4"/>
      <c r="X97" s="4"/>
      <c r="Y97" s="98"/>
    </row>
    <row r="98" spans="1:25" x14ac:dyDescent="0.25">
      <c r="A98" s="12">
        <v>95</v>
      </c>
      <c r="B98" s="58" t="s">
        <v>168</v>
      </c>
      <c r="C98" s="57">
        <v>26</v>
      </c>
      <c r="D98" s="57">
        <v>0</v>
      </c>
      <c r="E98" s="100">
        <v>1</v>
      </c>
      <c r="F98" s="118">
        <v>1</v>
      </c>
      <c r="G98" s="42">
        <v>1</v>
      </c>
      <c r="H98" s="100">
        <f t="shared" si="10"/>
        <v>1</v>
      </c>
      <c r="I98" s="100">
        <v>0</v>
      </c>
      <c r="J98" s="36"/>
      <c r="U98" s="11"/>
      <c r="V98" s="4"/>
      <c r="W98" s="4"/>
      <c r="X98" s="4"/>
      <c r="Y98" s="98"/>
    </row>
    <row r="99" spans="1:25" x14ac:dyDescent="0.25">
      <c r="A99" s="12">
        <v>96</v>
      </c>
      <c r="B99" s="56" t="s">
        <v>169</v>
      </c>
      <c r="C99" s="57">
        <v>26</v>
      </c>
      <c r="D99" s="57">
        <v>0</v>
      </c>
      <c r="E99" s="100">
        <v>1</v>
      </c>
      <c r="F99" s="118">
        <v>1</v>
      </c>
      <c r="G99" s="42">
        <v>0</v>
      </c>
      <c r="H99" s="100">
        <f t="shared" si="10"/>
        <v>0</v>
      </c>
      <c r="I99" s="100">
        <v>0</v>
      </c>
      <c r="J99" s="36"/>
      <c r="U99" s="11"/>
      <c r="V99" s="4"/>
      <c r="W99" s="4"/>
      <c r="X99" s="4"/>
      <c r="Y99" s="98"/>
    </row>
    <row r="100" spans="1:25" x14ac:dyDescent="0.25">
      <c r="A100" s="12">
        <v>97</v>
      </c>
      <c r="B100" s="58" t="s">
        <v>170</v>
      </c>
      <c r="C100" s="57">
        <v>41</v>
      </c>
      <c r="D100" s="57">
        <v>0</v>
      </c>
      <c r="E100" s="100">
        <v>1</v>
      </c>
      <c r="F100" s="118">
        <v>1</v>
      </c>
      <c r="G100" s="42">
        <v>0</v>
      </c>
      <c r="H100" s="100">
        <f t="shared" si="10"/>
        <v>0</v>
      </c>
      <c r="I100" s="100">
        <v>0</v>
      </c>
      <c r="J100" s="36"/>
      <c r="U100" s="11"/>
      <c r="V100" s="4"/>
      <c r="W100" s="4"/>
      <c r="X100" s="4"/>
      <c r="Y100" s="98"/>
    </row>
    <row r="101" spans="1:25" x14ac:dyDescent="0.25">
      <c r="A101" s="12">
        <v>98</v>
      </c>
      <c r="B101" s="56" t="s">
        <v>171</v>
      </c>
      <c r="C101" s="57">
        <v>28</v>
      </c>
      <c r="D101" s="57">
        <v>0</v>
      </c>
      <c r="E101" s="100">
        <v>1</v>
      </c>
      <c r="F101" s="118">
        <v>1</v>
      </c>
      <c r="G101" s="42">
        <v>0</v>
      </c>
      <c r="H101" s="100">
        <f t="shared" si="10"/>
        <v>0</v>
      </c>
      <c r="I101" s="100">
        <v>0</v>
      </c>
      <c r="J101" s="36"/>
      <c r="U101" s="11"/>
      <c r="V101" s="4"/>
      <c r="W101" s="4"/>
      <c r="X101" s="4"/>
      <c r="Y101" s="98"/>
    </row>
    <row r="102" spans="1:25" x14ac:dyDescent="0.25">
      <c r="A102" s="12">
        <v>99</v>
      </c>
      <c r="B102" s="58" t="s">
        <v>172</v>
      </c>
      <c r="C102" s="57">
        <v>33</v>
      </c>
      <c r="D102" s="57">
        <v>0</v>
      </c>
      <c r="E102" s="100">
        <v>1</v>
      </c>
      <c r="F102" s="118">
        <v>1</v>
      </c>
      <c r="G102" s="42">
        <v>1</v>
      </c>
      <c r="H102" s="100">
        <f t="shared" si="10"/>
        <v>1</v>
      </c>
      <c r="I102" s="100">
        <v>0</v>
      </c>
      <c r="J102" s="36"/>
      <c r="U102" s="11"/>
      <c r="V102" s="4"/>
      <c r="W102" s="4"/>
      <c r="X102" s="4"/>
      <c r="Y102" s="98"/>
    </row>
    <row r="103" spans="1:25" x14ac:dyDescent="0.25">
      <c r="A103" s="12">
        <v>100</v>
      </c>
      <c r="B103" s="56" t="s">
        <v>173</v>
      </c>
      <c r="C103" s="57">
        <v>31</v>
      </c>
      <c r="D103" s="57">
        <v>0</v>
      </c>
      <c r="E103" s="100">
        <v>1</v>
      </c>
      <c r="F103" s="118">
        <v>1</v>
      </c>
      <c r="G103" s="42">
        <v>0</v>
      </c>
      <c r="H103" s="100">
        <f t="shared" si="10"/>
        <v>0</v>
      </c>
      <c r="I103" s="100">
        <v>0</v>
      </c>
      <c r="J103" s="36"/>
      <c r="U103" s="11"/>
      <c r="V103" s="4"/>
      <c r="W103" s="4"/>
      <c r="X103" s="4"/>
      <c r="Y103" s="98"/>
    </row>
    <row r="104" spans="1:25" x14ac:dyDescent="0.25">
      <c r="A104" s="12">
        <v>101</v>
      </c>
      <c r="B104" s="56" t="s">
        <v>174</v>
      </c>
      <c r="C104" s="57">
        <v>29</v>
      </c>
      <c r="D104" s="57">
        <v>0</v>
      </c>
      <c r="E104" s="100">
        <v>1</v>
      </c>
      <c r="F104" s="118">
        <v>1</v>
      </c>
      <c r="G104" s="42">
        <v>0</v>
      </c>
      <c r="H104" s="100">
        <f t="shared" si="10"/>
        <v>0</v>
      </c>
      <c r="I104" s="100">
        <v>0</v>
      </c>
      <c r="J104" s="36"/>
      <c r="U104" s="11"/>
      <c r="V104" s="4"/>
      <c r="W104" s="4"/>
      <c r="X104" s="4"/>
      <c r="Y104" s="98"/>
    </row>
    <row r="105" spans="1:25" x14ac:dyDescent="0.25">
      <c r="A105" s="12">
        <v>102</v>
      </c>
      <c r="B105" s="58" t="s">
        <v>175</v>
      </c>
      <c r="C105" s="57">
        <v>33</v>
      </c>
      <c r="D105" s="57">
        <v>0</v>
      </c>
      <c r="E105" s="100">
        <v>1</v>
      </c>
      <c r="F105" s="118">
        <v>1</v>
      </c>
      <c r="G105" s="42">
        <v>0</v>
      </c>
      <c r="H105" s="100">
        <f t="shared" si="10"/>
        <v>0</v>
      </c>
      <c r="I105" s="100">
        <v>0</v>
      </c>
      <c r="J105" s="36"/>
      <c r="U105" s="11"/>
      <c r="V105" s="4"/>
      <c r="W105" s="4"/>
      <c r="X105" s="4"/>
      <c r="Y105" s="98"/>
    </row>
    <row r="106" spans="1:25" x14ac:dyDescent="0.25">
      <c r="A106" s="12">
        <v>103</v>
      </c>
      <c r="B106" s="59" t="s">
        <v>176</v>
      </c>
      <c r="C106" s="44">
        <v>94</v>
      </c>
      <c r="D106" s="44">
        <v>1</v>
      </c>
      <c r="E106" s="100">
        <v>1</v>
      </c>
      <c r="F106" s="118">
        <v>1</v>
      </c>
      <c r="G106" s="42">
        <v>0</v>
      </c>
      <c r="H106" s="100">
        <f t="shared" si="10"/>
        <v>1</v>
      </c>
      <c r="I106" s="100" t="s">
        <v>267</v>
      </c>
      <c r="J106" s="36"/>
      <c r="U106" s="11"/>
      <c r="V106" s="4"/>
      <c r="W106" s="4"/>
      <c r="X106" s="4"/>
      <c r="Y106" s="98"/>
    </row>
    <row r="107" spans="1:25" x14ac:dyDescent="0.25">
      <c r="A107" s="12">
        <v>104</v>
      </c>
      <c r="B107" s="59" t="s">
        <v>177</v>
      </c>
      <c r="C107" s="44">
        <v>87</v>
      </c>
      <c r="D107" s="44">
        <v>1</v>
      </c>
      <c r="E107" s="100">
        <v>1</v>
      </c>
      <c r="F107" s="118">
        <v>1</v>
      </c>
      <c r="G107" s="42">
        <v>0</v>
      </c>
      <c r="H107" s="100">
        <f t="shared" si="10"/>
        <v>1</v>
      </c>
      <c r="I107" s="100" t="s">
        <v>265</v>
      </c>
      <c r="J107" s="36"/>
      <c r="U107" s="11"/>
      <c r="V107" s="4"/>
      <c r="W107" s="4"/>
      <c r="X107" s="4"/>
      <c r="Y107" s="98"/>
    </row>
    <row r="108" spans="1:25" x14ac:dyDescent="0.25">
      <c r="A108" s="12">
        <v>105</v>
      </c>
      <c r="B108" s="59" t="s">
        <v>178</v>
      </c>
      <c r="C108" s="44">
        <v>76</v>
      </c>
      <c r="D108" s="44">
        <v>1</v>
      </c>
      <c r="E108" s="100">
        <v>1</v>
      </c>
      <c r="F108" s="118">
        <v>1</v>
      </c>
      <c r="G108" s="42">
        <v>0</v>
      </c>
      <c r="H108" s="100">
        <f t="shared" si="10"/>
        <v>1</v>
      </c>
      <c r="I108" s="100" t="s">
        <v>263</v>
      </c>
      <c r="J108" s="36"/>
      <c r="U108" s="11"/>
      <c r="V108" s="4"/>
      <c r="W108" s="4"/>
      <c r="X108" s="4"/>
      <c r="Y108" s="98"/>
    </row>
    <row r="109" spans="1:25" x14ac:dyDescent="0.25">
      <c r="A109" s="12">
        <v>106</v>
      </c>
      <c r="B109" s="60" t="s">
        <v>179</v>
      </c>
      <c r="C109" s="44">
        <v>101</v>
      </c>
      <c r="D109" s="44">
        <v>1</v>
      </c>
      <c r="E109" s="100">
        <v>1</v>
      </c>
      <c r="F109" s="118">
        <v>1</v>
      </c>
      <c r="G109" s="42">
        <v>0</v>
      </c>
      <c r="H109" s="100">
        <f t="shared" si="10"/>
        <v>1</v>
      </c>
      <c r="I109" s="100">
        <v>0</v>
      </c>
      <c r="J109" s="36"/>
      <c r="U109" s="11"/>
      <c r="V109" s="4"/>
      <c r="W109" s="4"/>
      <c r="X109" s="4"/>
      <c r="Y109" s="98"/>
    </row>
    <row r="110" spans="1:25" x14ac:dyDescent="0.25">
      <c r="A110" s="12">
        <v>107</v>
      </c>
      <c r="B110" s="59" t="s">
        <v>180</v>
      </c>
      <c r="C110" s="44">
        <v>89</v>
      </c>
      <c r="D110" s="44">
        <v>1</v>
      </c>
      <c r="E110" s="100">
        <v>1</v>
      </c>
      <c r="F110" s="118">
        <v>1</v>
      </c>
      <c r="G110" s="42">
        <v>0</v>
      </c>
      <c r="H110" s="100">
        <f t="shared" si="10"/>
        <v>1</v>
      </c>
      <c r="I110" s="100">
        <v>0</v>
      </c>
      <c r="J110" s="36"/>
      <c r="U110" s="11"/>
      <c r="V110" s="4"/>
      <c r="W110" s="4"/>
      <c r="X110" s="4"/>
      <c r="Y110" s="98"/>
    </row>
    <row r="111" spans="1:25" x14ac:dyDescent="0.25">
      <c r="A111" s="12">
        <v>108</v>
      </c>
      <c r="B111" s="60" t="s">
        <v>181</v>
      </c>
      <c r="C111" s="44">
        <v>92</v>
      </c>
      <c r="D111" s="44">
        <v>1</v>
      </c>
      <c r="E111" s="100">
        <v>1</v>
      </c>
      <c r="F111" s="118">
        <v>1</v>
      </c>
      <c r="G111" s="42">
        <v>0</v>
      </c>
      <c r="H111" s="100">
        <f t="shared" si="10"/>
        <v>1</v>
      </c>
      <c r="I111" s="100">
        <v>0</v>
      </c>
      <c r="J111" s="36"/>
      <c r="U111" s="11"/>
      <c r="V111" s="4"/>
      <c r="W111" s="4"/>
      <c r="X111" s="4"/>
      <c r="Y111" s="98"/>
    </row>
    <row r="112" spans="1:25" x14ac:dyDescent="0.25">
      <c r="A112" s="12">
        <v>109</v>
      </c>
      <c r="B112" s="59" t="s">
        <v>182</v>
      </c>
      <c r="C112" s="44">
        <v>97</v>
      </c>
      <c r="D112" s="44">
        <v>1</v>
      </c>
      <c r="E112" s="100">
        <v>1</v>
      </c>
      <c r="F112" s="118">
        <v>1</v>
      </c>
      <c r="G112" s="42">
        <v>0</v>
      </c>
      <c r="H112" s="100">
        <f t="shared" si="10"/>
        <v>1</v>
      </c>
      <c r="I112" s="100">
        <v>0</v>
      </c>
      <c r="J112" s="36"/>
      <c r="U112" s="11"/>
      <c r="V112" s="4"/>
      <c r="W112" s="4"/>
      <c r="X112" s="4"/>
      <c r="Y112" s="98"/>
    </row>
    <row r="113" spans="1:25" x14ac:dyDescent="0.25">
      <c r="A113" s="12">
        <v>110</v>
      </c>
      <c r="B113" s="60" t="s">
        <v>183</v>
      </c>
      <c r="C113" s="44">
        <v>50</v>
      </c>
      <c r="D113" s="44">
        <v>0</v>
      </c>
      <c r="E113" s="100">
        <v>1</v>
      </c>
      <c r="F113" s="118">
        <v>1</v>
      </c>
      <c r="G113" s="42">
        <v>0</v>
      </c>
      <c r="H113" s="100">
        <f t="shared" si="10"/>
        <v>0</v>
      </c>
      <c r="I113" s="100">
        <v>0</v>
      </c>
      <c r="J113" s="36"/>
      <c r="U113" s="11"/>
      <c r="V113" s="4"/>
      <c r="W113" s="4"/>
      <c r="X113" s="4"/>
      <c r="Y113" s="98"/>
    </row>
    <row r="114" spans="1:25" x14ac:dyDescent="0.25">
      <c r="A114" s="12">
        <v>111</v>
      </c>
      <c r="B114" s="60" t="s">
        <v>184</v>
      </c>
      <c r="C114" s="44">
        <v>36</v>
      </c>
      <c r="D114" s="44">
        <v>0</v>
      </c>
      <c r="E114" s="100">
        <v>1</v>
      </c>
      <c r="F114" s="118">
        <v>1</v>
      </c>
      <c r="G114" s="42">
        <v>0</v>
      </c>
      <c r="H114" s="100">
        <f t="shared" si="10"/>
        <v>0</v>
      </c>
      <c r="I114" s="100">
        <v>0</v>
      </c>
      <c r="J114" s="36"/>
      <c r="U114" s="11"/>
      <c r="V114" s="4"/>
      <c r="W114" s="4"/>
      <c r="X114" s="4"/>
      <c r="Y114" s="98"/>
    </row>
    <row r="115" spans="1:25" x14ac:dyDescent="0.25">
      <c r="A115" s="12">
        <v>112</v>
      </c>
      <c r="B115" s="59" t="s">
        <v>185</v>
      </c>
      <c r="C115" s="44">
        <v>44</v>
      </c>
      <c r="D115" s="44">
        <v>0</v>
      </c>
      <c r="E115" s="100">
        <v>1</v>
      </c>
      <c r="F115" s="118">
        <v>1</v>
      </c>
      <c r="G115" s="42">
        <v>0</v>
      </c>
      <c r="H115" s="100">
        <f t="shared" si="10"/>
        <v>0</v>
      </c>
      <c r="I115" s="100">
        <v>0</v>
      </c>
      <c r="J115" s="36"/>
      <c r="U115" s="11"/>
      <c r="V115" s="4"/>
      <c r="W115" s="4"/>
      <c r="X115" s="4"/>
      <c r="Y115" s="98"/>
    </row>
    <row r="116" spans="1:25" x14ac:dyDescent="0.25">
      <c r="A116" s="12">
        <v>113</v>
      </c>
      <c r="B116" s="60" t="s">
        <v>186</v>
      </c>
      <c r="C116" s="44">
        <v>46</v>
      </c>
      <c r="D116" s="44">
        <v>0</v>
      </c>
      <c r="E116" s="100">
        <v>1</v>
      </c>
      <c r="F116" s="118">
        <v>1</v>
      </c>
      <c r="G116" s="42">
        <v>0</v>
      </c>
      <c r="H116" s="100">
        <f t="shared" si="10"/>
        <v>0</v>
      </c>
      <c r="I116" s="100">
        <v>0</v>
      </c>
      <c r="J116" s="36"/>
      <c r="U116" s="11"/>
      <c r="V116" s="4"/>
      <c r="W116" s="4"/>
      <c r="X116" s="4"/>
      <c r="Y116" s="98"/>
    </row>
    <row r="117" spans="1:25" x14ac:dyDescent="0.25">
      <c r="A117" s="12">
        <v>114</v>
      </c>
      <c r="B117" s="59" t="s">
        <v>187</v>
      </c>
      <c r="C117" s="44">
        <v>43</v>
      </c>
      <c r="D117" s="44">
        <v>0</v>
      </c>
      <c r="E117" s="100">
        <v>1</v>
      </c>
      <c r="F117" s="118">
        <v>1</v>
      </c>
      <c r="G117" s="42">
        <v>0</v>
      </c>
      <c r="H117" s="100">
        <f t="shared" si="10"/>
        <v>0</v>
      </c>
      <c r="I117" s="100">
        <v>0</v>
      </c>
      <c r="J117" s="36"/>
      <c r="U117" s="11"/>
      <c r="V117" s="4"/>
      <c r="W117" s="4"/>
      <c r="X117" s="4"/>
      <c r="Y117" s="98"/>
    </row>
    <row r="118" spans="1:25" x14ac:dyDescent="0.25">
      <c r="A118" s="12">
        <v>115</v>
      </c>
      <c r="B118" s="60" t="s">
        <v>188</v>
      </c>
      <c r="C118" s="44">
        <v>46</v>
      </c>
      <c r="D118" s="44">
        <v>0</v>
      </c>
      <c r="E118" s="100">
        <v>1</v>
      </c>
      <c r="F118" s="118">
        <v>1</v>
      </c>
      <c r="G118" s="42">
        <v>0</v>
      </c>
      <c r="H118" s="100">
        <f t="shared" si="10"/>
        <v>0</v>
      </c>
      <c r="I118" s="100">
        <v>0</v>
      </c>
      <c r="J118" s="36"/>
      <c r="U118" s="11"/>
      <c r="V118" s="4"/>
      <c r="W118" s="4"/>
      <c r="X118" s="4"/>
      <c r="Y118" s="98"/>
    </row>
    <row r="119" spans="1:25" x14ac:dyDescent="0.25">
      <c r="A119" s="12">
        <v>116</v>
      </c>
      <c r="B119" s="59" t="s">
        <v>189</v>
      </c>
      <c r="C119" s="44">
        <v>42</v>
      </c>
      <c r="D119" s="44">
        <v>0</v>
      </c>
      <c r="E119" s="100">
        <v>1</v>
      </c>
      <c r="F119" s="118">
        <v>1</v>
      </c>
      <c r="G119" s="42">
        <v>0</v>
      </c>
      <c r="H119" s="100">
        <f t="shared" si="10"/>
        <v>0</v>
      </c>
      <c r="I119" s="100">
        <v>0</v>
      </c>
      <c r="J119" s="36"/>
      <c r="U119" s="11"/>
      <c r="V119" s="4"/>
      <c r="W119" s="4"/>
      <c r="X119" s="4"/>
      <c r="Y119" s="98"/>
    </row>
    <row r="120" spans="1:25" x14ac:dyDescent="0.25">
      <c r="A120" s="12">
        <v>117</v>
      </c>
      <c r="B120" s="61" t="s">
        <v>273</v>
      </c>
      <c r="C120" s="44">
        <v>44</v>
      </c>
      <c r="D120" s="44">
        <v>0</v>
      </c>
      <c r="E120" s="100">
        <v>1</v>
      </c>
      <c r="F120" s="118">
        <v>1</v>
      </c>
      <c r="G120" s="42">
        <v>0</v>
      </c>
      <c r="H120" s="100">
        <f t="shared" si="10"/>
        <v>0</v>
      </c>
      <c r="I120" s="100">
        <v>0</v>
      </c>
      <c r="J120" s="36"/>
      <c r="U120" s="11"/>
      <c r="V120" s="4"/>
      <c r="W120" s="4"/>
      <c r="X120" s="4"/>
      <c r="Y120" s="98"/>
    </row>
    <row r="121" spans="1:25" x14ac:dyDescent="0.25">
      <c r="A121" s="12">
        <v>118</v>
      </c>
      <c r="B121" s="59" t="s">
        <v>190</v>
      </c>
      <c r="C121" s="44">
        <v>44</v>
      </c>
      <c r="D121" s="44">
        <v>0</v>
      </c>
      <c r="E121" s="100">
        <v>1</v>
      </c>
      <c r="F121" s="118">
        <v>1</v>
      </c>
      <c r="G121" s="42">
        <v>0</v>
      </c>
      <c r="H121" s="100">
        <f t="shared" si="10"/>
        <v>0</v>
      </c>
      <c r="I121" s="100">
        <v>0</v>
      </c>
      <c r="J121" s="36"/>
      <c r="U121" s="11"/>
      <c r="V121" s="4"/>
      <c r="W121" s="4"/>
      <c r="X121" s="4"/>
      <c r="Y121" s="98"/>
    </row>
    <row r="122" spans="1:25" x14ac:dyDescent="0.25">
      <c r="A122" s="12">
        <v>119</v>
      </c>
      <c r="B122" s="60" t="s">
        <v>191</v>
      </c>
      <c r="C122" s="44">
        <v>18</v>
      </c>
      <c r="D122" s="44">
        <v>0</v>
      </c>
      <c r="E122" s="100">
        <v>1</v>
      </c>
      <c r="F122" s="118">
        <v>1</v>
      </c>
      <c r="G122" s="42">
        <v>0</v>
      </c>
      <c r="H122" s="100">
        <f t="shared" si="10"/>
        <v>0</v>
      </c>
      <c r="I122" s="100">
        <v>0</v>
      </c>
      <c r="J122" s="36"/>
      <c r="U122" s="11"/>
      <c r="V122" s="4"/>
      <c r="W122" s="4"/>
      <c r="X122" s="4"/>
      <c r="Y122" s="98"/>
    </row>
    <row r="123" spans="1:25" x14ac:dyDescent="0.25">
      <c r="A123" s="12">
        <v>120</v>
      </c>
      <c r="B123" s="60" t="s">
        <v>192</v>
      </c>
      <c r="C123" s="44">
        <v>35</v>
      </c>
      <c r="D123" s="44">
        <v>0</v>
      </c>
      <c r="E123" s="100">
        <v>1</v>
      </c>
      <c r="F123" s="118">
        <v>1</v>
      </c>
      <c r="G123" s="42">
        <v>0</v>
      </c>
      <c r="H123" s="100">
        <f t="shared" si="10"/>
        <v>0</v>
      </c>
      <c r="I123" s="100">
        <v>0</v>
      </c>
      <c r="J123" s="36"/>
      <c r="U123" s="11"/>
      <c r="V123" s="4"/>
      <c r="W123" s="4"/>
      <c r="X123" s="4"/>
      <c r="Y123" s="98"/>
    </row>
    <row r="124" spans="1:25" x14ac:dyDescent="0.25">
      <c r="A124" s="12">
        <v>121</v>
      </c>
      <c r="B124" s="60" t="s">
        <v>193</v>
      </c>
      <c r="C124" s="44">
        <v>56</v>
      </c>
      <c r="D124" s="44">
        <v>0</v>
      </c>
      <c r="E124" s="100">
        <v>1</v>
      </c>
      <c r="F124" s="118">
        <v>1</v>
      </c>
      <c r="G124" s="42">
        <v>0</v>
      </c>
      <c r="H124" s="100">
        <f t="shared" si="10"/>
        <v>0</v>
      </c>
      <c r="I124" s="100">
        <v>0</v>
      </c>
      <c r="J124" s="36"/>
      <c r="U124" s="11"/>
      <c r="V124" s="4"/>
      <c r="W124" s="4"/>
      <c r="X124" s="4"/>
      <c r="Y124" s="98"/>
    </row>
    <row r="125" spans="1:25" x14ac:dyDescent="0.25">
      <c r="A125" s="12">
        <v>122</v>
      </c>
      <c r="B125" s="60" t="s">
        <v>194</v>
      </c>
      <c r="C125" s="44">
        <v>50</v>
      </c>
      <c r="D125" s="44">
        <v>0</v>
      </c>
      <c r="E125" s="100">
        <v>1</v>
      </c>
      <c r="F125" s="118">
        <v>1</v>
      </c>
      <c r="G125" s="42">
        <v>0</v>
      </c>
      <c r="H125" s="100">
        <f t="shared" si="10"/>
        <v>0</v>
      </c>
      <c r="I125" s="100">
        <v>0</v>
      </c>
      <c r="J125" s="36"/>
      <c r="U125" s="11"/>
      <c r="V125" s="4"/>
      <c r="W125" s="4"/>
      <c r="X125" s="4"/>
      <c r="Y125" s="98"/>
    </row>
    <row r="126" spans="1:25" x14ac:dyDescent="0.25">
      <c r="A126" s="12">
        <v>123</v>
      </c>
      <c r="B126" s="60" t="s">
        <v>195</v>
      </c>
      <c r="C126" s="44">
        <v>39</v>
      </c>
      <c r="D126" s="44">
        <v>0</v>
      </c>
      <c r="E126" s="100">
        <v>1</v>
      </c>
      <c r="F126" s="118">
        <v>1</v>
      </c>
      <c r="G126" s="42">
        <v>0</v>
      </c>
      <c r="H126" s="100">
        <f t="shared" si="10"/>
        <v>0</v>
      </c>
      <c r="I126" s="100">
        <v>0</v>
      </c>
      <c r="J126" s="36"/>
      <c r="U126" s="11"/>
      <c r="V126" s="4"/>
      <c r="W126" s="4"/>
      <c r="X126" s="4"/>
      <c r="Y126" s="98"/>
    </row>
    <row r="127" spans="1:25" x14ac:dyDescent="0.25">
      <c r="A127" s="12">
        <v>124</v>
      </c>
      <c r="B127" s="60" t="s">
        <v>196</v>
      </c>
      <c r="C127" s="44">
        <v>15</v>
      </c>
      <c r="D127" s="44">
        <v>0</v>
      </c>
      <c r="E127" s="100">
        <v>1</v>
      </c>
      <c r="F127" s="118">
        <v>1</v>
      </c>
      <c r="G127" s="42">
        <v>0</v>
      </c>
      <c r="H127" s="100">
        <f t="shared" si="10"/>
        <v>0</v>
      </c>
      <c r="I127" s="100">
        <v>0</v>
      </c>
      <c r="J127" s="36"/>
      <c r="U127" s="11"/>
      <c r="V127" s="4"/>
      <c r="W127" s="4"/>
      <c r="X127" s="4"/>
      <c r="Y127" s="98"/>
    </row>
    <row r="128" spans="1:25" ht="15.75" x14ac:dyDescent="0.25">
      <c r="A128" s="12">
        <v>125</v>
      </c>
      <c r="B128" s="62" t="s">
        <v>197</v>
      </c>
      <c r="C128" s="63">
        <v>70</v>
      </c>
      <c r="D128" s="63">
        <v>1</v>
      </c>
      <c r="E128" s="100">
        <v>1</v>
      </c>
      <c r="F128" s="118">
        <v>1</v>
      </c>
      <c r="G128" s="42">
        <v>0</v>
      </c>
      <c r="H128" s="100">
        <f t="shared" si="10"/>
        <v>1</v>
      </c>
      <c r="I128" s="100" t="s">
        <v>267</v>
      </c>
      <c r="J128" s="36"/>
      <c r="U128" s="11"/>
      <c r="V128" s="4"/>
      <c r="W128" s="4"/>
      <c r="X128" s="4"/>
      <c r="Y128" s="98"/>
    </row>
    <row r="129" spans="1:25" ht="15.75" x14ac:dyDescent="0.25">
      <c r="A129" s="12">
        <v>126</v>
      </c>
      <c r="B129" s="64" t="s">
        <v>198</v>
      </c>
      <c r="C129" s="63">
        <v>72</v>
      </c>
      <c r="D129" s="63">
        <v>1</v>
      </c>
      <c r="E129" s="100">
        <v>1</v>
      </c>
      <c r="F129" s="118">
        <v>1</v>
      </c>
      <c r="G129" s="42">
        <v>0</v>
      </c>
      <c r="H129" s="100">
        <f t="shared" si="10"/>
        <v>1</v>
      </c>
      <c r="I129" s="100" t="s">
        <v>265</v>
      </c>
      <c r="J129" s="36"/>
      <c r="U129" s="11"/>
      <c r="V129" s="4"/>
      <c r="W129" s="4"/>
      <c r="X129" s="4"/>
      <c r="Y129" s="98"/>
    </row>
    <row r="130" spans="1:25" ht="15.75" x14ac:dyDescent="0.25">
      <c r="A130" s="12">
        <v>127</v>
      </c>
      <c r="B130" s="65" t="s">
        <v>199</v>
      </c>
      <c r="C130" s="63">
        <v>67</v>
      </c>
      <c r="D130" s="63">
        <v>1</v>
      </c>
      <c r="E130" s="100">
        <v>1</v>
      </c>
      <c r="F130" s="118">
        <v>1</v>
      </c>
      <c r="G130" s="42">
        <v>0</v>
      </c>
      <c r="H130" s="100">
        <f t="shared" si="10"/>
        <v>1</v>
      </c>
      <c r="I130" s="100" t="s">
        <v>263</v>
      </c>
      <c r="J130" s="36"/>
      <c r="U130" s="11"/>
      <c r="V130" s="4"/>
      <c r="W130" s="4"/>
      <c r="X130" s="4"/>
      <c r="Y130" s="98"/>
    </row>
    <row r="131" spans="1:25" ht="15.75" x14ac:dyDescent="0.25">
      <c r="A131" s="12">
        <v>128</v>
      </c>
      <c r="B131" s="65" t="s">
        <v>200</v>
      </c>
      <c r="C131" s="63">
        <v>80</v>
      </c>
      <c r="D131" s="63">
        <v>1</v>
      </c>
      <c r="E131" s="100">
        <v>1</v>
      </c>
      <c r="F131" s="118">
        <v>1</v>
      </c>
      <c r="G131" s="42">
        <v>0</v>
      </c>
      <c r="H131" s="100">
        <f t="shared" si="10"/>
        <v>1</v>
      </c>
      <c r="I131" s="100">
        <v>0</v>
      </c>
      <c r="J131" s="36"/>
      <c r="U131" s="11"/>
      <c r="V131" s="4"/>
      <c r="W131" s="4"/>
      <c r="X131" s="4"/>
      <c r="Y131" s="98"/>
    </row>
    <row r="132" spans="1:25" ht="15.75" x14ac:dyDescent="0.25">
      <c r="A132" s="12">
        <v>129</v>
      </c>
      <c r="B132" s="62" t="s">
        <v>201</v>
      </c>
      <c r="C132" s="63">
        <v>75</v>
      </c>
      <c r="D132" s="63">
        <v>1</v>
      </c>
      <c r="E132" s="100">
        <v>1</v>
      </c>
      <c r="F132" s="118">
        <v>1</v>
      </c>
      <c r="G132" s="42">
        <v>0</v>
      </c>
      <c r="H132" s="100">
        <f t="shared" si="10"/>
        <v>1</v>
      </c>
      <c r="I132" s="100">
        <v>0</v>
      </c>
      <c r="J132" s="36"/>
      <c r="U132" s="11"/>
      <c r="V132" s="4"/>
      <c r="W132" s="4"/>
      <c r="X132" s="4"/>
      <c r="Y132" s="98"/>
    </row>
    <row r="133" spans="1:25" ht="15.75" x14ac:dyDescent="0.25">
      <c r="A133" s="12">
        <v>130</v>
      </c>
      <c r="B133" s="65" t="s">
        <v>202</v>
      </c>
      <c r="C133" s="63">
        <v>71</v>
      </c>
      <c r="D133" s="63">
        <v>1</v>
      </c>
      <c r="E133" s="100">
        <v>1</v>
      </c>
      <c r="F133" s="118">
        <v>1</v>
      </c>
      <c r="G133" s="42">
        <v>0</v>
      </c>
      <c r="H133" s="100">
        <f t="shared" ref="H133:H174" si="11">IF(G133=0,IF(C133&lt;67,0,1),IF(C133&lt;26,0,1))</f>
        <v>1</v>
      </c>
      <c r="I133" s="100">
        <v>0</v>
      </c>
      <c r="J133" s="36"/>
      <c r="U133" s="11"/>
      <c r="V133" s="4"/>
      <c r="W133" s="4"/>
      <c r="X133" s="4"/>
      <c r="Y133" s="98"/>
    </row>
    <row r="134" spans="1:25" ht="15.75" x14ac:dyDescent="0.25">
      <c r="A134" s="12">
        <v>131</v>
      </c>
      <c r="B134" s="66" t="s">
        <v>203</v>
      </c>
      <c r="C134" s="63">
        <v>71</v>
      </c>
      <c r="D134" s="63">
        <v>1</v>
      </c>
      <c r="E134" s="100">
        <v>1</v>
      </c>
      <c r="F134" s="118">
        <v>1</v>
      </c>
      <c r="G134" s="42">
        <v>0</v>
      </c>
      <c r="H134" s="100">
        <f t="shared" si="11"/>
        <v>1</v>
      </c>
      <c r="I134" s="100">
        <v>0</v>
      </c>
      <c r="J134" s="36"/>
      <c r="U134" s="11"/>
      <c r="V134" s="4"/>
      <c r="W134" s="4"/>
      <c r="X134" s="4"/>
      <c r="Y134" s="98"/>
    </row>
    <row r="135" spans="1:25" ht="15.75" x14ac:dyDescent="0.25">
      <c r="A135" s="12">
        <v>132</v>
      </c>
      <c r="B135" s="66" t="s">
        <v>204</v>
      </c>
      <c r="C135" s="63">
        <v>50</v>
      </c>
      <c r="D135" s="63">
        <v>0</v>
      </c>
      <c r="E135" s="100">
        <v>1</v>
      </c>
      <c r="F135" s="118">
        <v>1</v>
      </c>
      <c r="G135" s="42">
        <v>1</v>
      </c>
      <c r="H135" s="100">
        <f t="shared" si="11"/>
        <v>1</v>
      </c>
      <c r="I135" s="100">
        <v>0</v>
      </c>
      <c r="J135" s="36"/>
      <c r="U135" s="11"/>
      <c r="V135" s="4"/>
      <c r="W135" s="4"/>
      <c r="X135" s="4"/>
      <c r="Y135" s="98"/>
    </row>
    <row r="136" spans="1:25" ht="16.5" thickBot="1" x14ac:dyDescent="0.3">
      <c r="A136" s="12">
        <v>133</v>
      </c>
      <c r="B136" s="66" t="s">
        <v>205</v>
      </c>
      <c r="C136" s="63">
        <v>40</v>
      </c>
      <c r="D136" s="63">
        <v>0</v>
      </c>
      <c r="E136" s="100">
        <v>1</v>
      </c>
      <c r="F136" s="118">
        <v>1</v>
      </c>
      <c r="G136" s="42">
        <v>0</v>
      </c>
      <c r="H136" s="100">
        <f t="shared" si="11"/>
        <v>0</v>
      </c>
      <c r="I136" s="100">
        <v>0</v>
      </c>
      <c r="J136" s="36"/>
      <c r="U136" s="11"/>
      <c r="V136" s="4"/>
      <c r="W136" s="4"/>
      <c r="X136" s="4"/>
      <c r="Y136" s="98"/>
    </row>
    <row r="137" spans="1:25" ht="15.75" x14ac:dyDescent="0.25">
      <c r="A137" s="12">
        <v>134</v>
      </c>
      <c r="B137" s="67" t="s">
        <v>206</v>
      </c>
      <c r="C137" s="68">
        <v>28</v>
      </c>
      <c r="D137" s="68">
        <v>0</v>
      </c>
      <c r="E137" s="100">
        <v>1</v>
      </c>
      <c r="F137" s="118">
        <v>1</v>
      </c>
      <c r="G137" s="42">
        <v>0</v>
      </c>
      <c r="H137" s="100">
        <f t="shared" si="11"/>
        <v>0</v>
      </c>
      <c r="I137" s="100">
        <v>0</v>
      </c>
      <c r="J137" s="36"/>
      <c r="U137" s="11"/>
      <c r="V137" s="4"/>
      <c r="W137" s="4"/>
      <c r="X137" s="4"/>
      <c r="Y137" s="98"/>
    </row>
    <row r="138" spans="1:25" ht="16.5" thickBot="1" x14ac:dyDescent="0.3">
      <c r="A138" s="12">
        <v>135</v>
      </c>
      <c r="B138" s="69" t="s">
        <v>207</v>
      </c>
      <c r="C138" s="68">
        <v>41</v>
      </c>
      <c r="D138" s="68">
        <v>0</v>
      </c>
      <c r="E138" s="100">
        <v>1</v>
      </c>
      <c r="F138" s="118">
        <v>1</v>
      </c>
      <c r="G138" s="42">
        <v>0</v>
      </c>
      <c r="H138" s="100">
        <f t="shared" si="11"/>
        <v>0</v>
      </c>
      <c r="I138" s="100">
        <v>0</v>
      </c>
      <c r="J138" s="36"/>
      <c r="U138" s="11"/>
      <c r="V138" s="4"/>
      <c r="W138" s="4"/>
      <c r="X138" s="4"/>
      <c r="Y138" s="98"/>
    </row>
    <row r="139" spans="1:25" ht="15.75" x14ac:dyDescent="0.25">
      <c r="A139" s="12">
        <v>136</v>
      </c>
      <c r="B139" s="70" t="s">
        <v>208</v>
      </c>
      <c r="C139" s="68">
        <v>32</v>
      </c>
      <c r="D139" s="68">
        <v>0</v>
      </c>
      <c r="E139" s="100">
        <v>1</v>
      </c>
      <c r="F139" s="118">
        <v>1</v>
      </c>
      <c r="G139" s="42">
        <v>0</v>
      </c>
      <c r="H139" s="100">
        <f t="shared" si="11"/>
        <v>0</v>
      </c>
      <c r="I139" s="100">
        <v>0</v>
      </c>
      <c r="J139" s="36"/>
      <c r="U139" s="11"/>
      <c r="V139" s="4"/>
      <c r="W139" s="4"/>
      <c r="X139" s="4"/>
      <c r="Y139" s="98"/>
    </row>
    <row r="140" spans="1:25" ht="16.5" thickBot="1" x14ac:dyDescent="0.3">
      <c r="A140" s="12">
        <v>137</v>
      </c>
      <c r="B140" s="69" t="s">
        <v>209</v>
      </c>
      <c r="C140" s="68">
        <v>39</v>
      </c>
      <c r="D140" s="68">
        <v>0</v>
      </c>
      <c r="E140" s="100">
        <v>1</v>
      </c>
      <c r="F140" s="118">
        <v>1</v>
      </c>
      <c r="G140" s="42">
        <v>0</v>
      </c>
      <c r="H140" s="100">
        <f t="shared" si="11"/>
        <v>0</v>
      </c>
      <c r="I140" s="100">
        <v>0</v>
      </c>
      <c r="J140" s="36"/>
      <c r="U140" s="11"/>
      <c r="V140" s="4"/>
      <c r="W140" s="4"/>
      <c r="X140" s="4"/>
      <c r="Y140" s="98"/>
    </row>
    <row r="141" spans="1:25" ht="15.75" x14ac:dyDescent="0.25">
      <c r="A141" s="12">
        <v>138</v>
      </c>
      <c r="B141" s="65" t="s">
        <v>210</v>
      </c>
      <c r="C141" s="68">
        <v>67</v>
      </c>
      <c r="D141" s="68">
        <v>1</v>
      </c>
      <c r="E141" s="100">
        <v>1</v>
      </c>
      <c r="F141" s="118">
        <v>1</v>
      </c>
      <c r="G141" s="42">
        <v>0</v>
      </c>
      <c r="H141" s="100">
        <f t="shared" si="11"/>
        <v>1</v>
      </c>
      <c r="I141" s="100">
        <v>0</v>
      </c>
      <c r="J141" s="36"/>
      <c r="U141" s="11"/>
      <c r="V141" s="4"/>
      <c r="W141" s="4"/>
      <c r="X141" s="4"/>
      <c r="Y141" s="98"/>
    </row>
    <row r="142" spans="1:25" ht="15.75" x14ac:dyDescent="0.25">
      <c r="A142" s="12">
        <v>139</v>
      </c>
      <c r="B142" s="65" t="s">
        <v>211</v>
      </c>
      <c r="C142" s="68">
        <v>73</v>
      </c>
      <c r="D142" s="68">
        <v>1</v>
      </c>
      <c r="E142" s="100">
        <v>1</v>
      </c>
      <c r="F142" s="118">
        <v>1</v>
      </c>
      <c r="G142" s="42">
        <v>0</v>
      </c>
      <c r="H142" s="100">
        <f t="shared" si="11"/>
        <v>1</v>
      </c>
      <c r="I142" s="100">
        <v>0</v>
      </c>
      <c r="J142" s="36"/>
      <c r="U142" s="11"/>
      <c r="V142" s="4"/>
      <c r="W142" s="4"/>
      <c r="X142" s="4"/>
      <c r="Y142" s="98"/>
    </row>
    <row r="143" spans="1:25" ht="15.75" x14ac:dyDescent="0.25">
      <c r="A143" s="12">
        <v>140</v>
      </c>
      <c r="B143" s="65" t="s">
        <v>212</v>
      </c>
      <c r="C143" s="68">
        <v>67</v>
      </c>
      <c r="D143" s="68">
        <v>1</v>
      </c>
      <c r="E143" s="100">
        <v>1</v>
      </c>
      <c r="F143" s="118">
        <v>1</v>
      </c>
      <c r="G143" s="42">
        <v>0</v>
      </c>
      <c r="H143" s="100">
        <f t="shared" si="11"/>
        <v>1</v>
      </c>
      <c r="I143" s="100">
        <v>0</v>
      </c>
      <c r="J143" s="36"/>
      <c r="U143" s="11"/>
      <c r="V143" s="4"/>
      <c r="W143" s="4"/>
      <c r="X143" s="4"/>
      <c r="Y143" s="98"/>
    </row>
    <row r="144" spans="1:25" ht="15.75" x14ac:dyDescent="0.25">
      <c r="A144" s="12">
        <v>141</v>
      </c>
      <c r="B144" s="65" t="s">
        <v>213</v>
      </c>
      <c r="C144" s="68">
        <v>31</v>
      </c>
      <c r="D144" s="68">
        <v>0</v>
      </c>
      <c r="E144" s="100">
        <v>1</v>
      </c>
      <c r="F144" s="118">
        <v>1</v>
      </c>
      <c r="G144" s="42">
        <v>1</v>
      </c>
      <c r="H144" s="100">
        <f t="shared" si="11"/>
        <v>1</v>
      </c>
      <c r="I144" s="100">
        <v>0</v>
      </c>
      <c r="J144" s="36"/>
      <c r="U144" s="11"/>
      <c r="V144" s="4"/>
      <c r="W144" s="4"/>
      <c r="X144" s="4"/>
      <c r="Y144" s="98"/>
    </row>
    <row r="145" spans="1:25" ht="15.75" x14ac:dyDescent="0.25">
      <c r="A145" s="12">
        <v>142</v>
      </c>
      <c r="B145" s="65" t="s">
        <v>214</v>
      </c>
      <c r="C145" s="68">
        <v>36</v>
      </c>
      <c r="D145" s="68">
        <v>0</v>
      </c>
      <c r="E145" s="100">
        <v>1</v>
      </c>
      <c r="F145" s="118">
        <v>1</v>
      </c>
      <c r="G145" s="42">
        <v>1</v>
      </c>
      <c r="H145" s="100">
        <f t="shared" si="11"/>
        <v>1</v>
      </c>
      <c r="I145" s="100">
        <v>0</v>
      </c>
      <c r="J145" s="36"/>
      <c r="U145" s="11"/>
      <c r="V145" s="4"/>
      <c r="W145" s="4"/>
      <c r="X145" s="4"/>
      <c r="Y145" s="98"/>
    </row>
    <row r="146" spans="1:25" ht="15.75" x14ac:dyDescent="0.25">
      <c r="A146" s="12">
        <v>143</v>
      </c>
      <c r="B146" s="65" t="s">
        <v>215</v>
      </c>
      <c r="C146" s="68">
        <v>3</v>
      </c>
      <c r="D146" s="68">
        <v>0</v>
      </c>
      <c r="E146" s="100">
        <v>1</v>
      </c>
      <c r="F146" s="118">
        <v>1</v>
      </c>
      <c r="G146" s="42">
        <v>0</v>
      </c>
      <c r="H146" s="100">
        <f t="shared" si="11"/>
        <v>0</v>
      </c>
      <c r="I146" s="100">
        <v>0</v>
      </c>
      <c r="J146" s="36"/>
      <c r="U146" s="11"/>
      <c r="V146" s="4"/>
      <c r="W146" s="4"/>
      <c r="X146" s="4"/>
      <c r="Y146" s="98"/>
    </row>
    <row r="147" spans="1:25" ht="15.75" x14ac:dyDescent="0.25">
      <c r="A147" s="12">
        <v>144</v>
      </c>
      <c r="B147" s="66" t="s">
        <v>216</v>
      </c>
      <c r="C147" s="68">
        <v>63</v>
      </c>
      <c r="D147" s="68">
        <v>0</v>
      </c>
      <c r="E147" s="100">
        <v>1</v>
      </c>
      <c r="F147" s="118">
        <v>1</v>
      </c>
      <c r="G147" s="42">
        <v>0</v>
      </c>
      <c r="H147" s="100">
        <f t="shared" si="11"/>
        <v>0</v>
      </c>
      <c r="I147" s="100">
        <v>0</v>
      </c>
      <c r="J147" s="36"/>
      <c r="U147" s="11"/>
      <c r="V147" s="4"/>
      <c r="W147" s="4"/>
      <c r="X147" s="4"/>
      <c r="Y147" s="98"/>
    </row>
    <row r="148" spans="1:25" ht="15.75" x14ac:dyDescent="0.25">
      <c r="A148" s="12">
        <v>145</v>
      </c>
      <c r="B148" s="65" t="s">
        <v>217</v>
      </c>
      <c r="C148" s="68">
        <v>70</v>
      </c>
      <c r="D148" s="68">
        <v>1</v>
      </c>
      <c r="E148" s="100">
        <v>1</v>
      </c>
      <c r="F148" s="118">
        <v>1</v>
      </c>
      <c r="G148" s="42">
        <v>0</v>
      </c>
      <c r="H148" s="100">
        <f t="shared" si="11"/>
        <v>1</v>
      </c>
      <c r="I148" s="100">
        <v>0</v>
      </c>
      <c r="J148" s="36"/>
      <c r="U148" s="11"/>
      <c r="V148" s="4"/>
      <c r="W148" s="4"/>
      <c r="X148" s="4"/>
      <c r="Y148" s="98"/>
    </row>
    <row r="149" spans="1:25" ht="15.75" x14ac:dyDescent="0.25">
      <c r="A149" s="12">
        <v>146</v>
      </c>
      <c r="B149" s="71" t="s">
        <v>218</v>
      </c>
      <c r="C149" s="68">
        <v>36</v>
      </c>
      <c r="D149" s="68">
        <v>0</v>
      </c>
      <c r="E149" s="100">
        <v>1</v>
      </c>
      <c r="F149" s="118">
        <v>1</v>
      </c>
      <c r="G149" s="42">
        <v>0</v>
      </c>
      <c r="H149" s="100">
        <f t="shared" si="11"/>
        <v>0</v>
      </c>
      <c r="I149" s="100">
        <v>0</v>
      </c>
      <c r="J149" s="36"/>
      <c r="U149" s="11"/>
      <c r="V149" s="4"/>
      <c r="W149" s="4"/>
      <c r="X149" s="4"/>
      <c r="Y149" s="98"/>
    </row>
    <row r="150" spans="1:25" ht="15.75" x14ac:dyDescent="0.25">
      <c r="A150" s="12">
        <v>147</v>
      </c>
      <c r="B150" s="72" t="s">
        <v>219</v>
      </c>
      <c r="C150" s="68">
        <v>27</v>
      </c>
      <c r="D150" s="68">
        <v>0</v>
      </c>
      <c r="E150" s="100">
        <v>1</v>
      </c>
      <c r="F150" s="118">
        <v>1</v>
      </c>
      <c r="G150" s="42">
        <v>0</v>
      </c>
      <c r="H150" s="100">
        <f t="shared" si="11"/>
        <v>0</v>
      </c>
      <c r="I150" s="100">
        <v>0</v>
      </c>
      <c r="J150" s="36"/>
      <c r="U150" s="11"/>
      <c r="V150" s="4"/>
      <c r="W150" s="4"/>
      <c r="X150" s="4"/>
      <c r="Y150" s="98"/>
    </row>
    <row r="151" spans="1:25" ht="15.75" x14ac:dyDescent="0.25">
      <c r="A151" s="12">
        <v>148</v>
      </c>
      <c r="B151" s="72" t="s">
        <v>220</v>
      </c>
      <c r="C151" s="68">
        <v>62</v>
      </c>
      <c r="D151" s="68">
        <v>0</v>
      </c>
      <c r="E151" s="100">
        <v>1</v>
      </c>
      <c r="F151" s="118">
        <v>1</v>
      </c>
      <c r="G151" s="42">
        <v>0</v>
      </c>
      <c r="H151" s="100">
        <f t="shared" si="11"/>
        <v>0</v>
      </c>
      <c r="I151" s="100">
        <v>0</v>
      </c>
      <c r="J151" s="36"/>
      <c r="U151" s="11"/>
      <c r="V151" s="4"/>
      <c r="W151" s="4"/>
      <c r="X151" s="4"/>
      <c r="Y151" s="98"/>
    </row>
    <row r="152" spans="1:25" ht="15.75" x14ac:dyDescent="0.25">
      <c r="A152" s="12">
        <v>149</v>
      </c>
      <c r="B152" s="72" t="s">
        <v>221</v>
      </c>
      <c r="C152" s="68">
        <v>62</v>
      </c>
      <c r="D152" s="68">
        <v>0</v>
      </c>
      <c r="E152" s="100">
        <v>1</v>
      </c>
      <c r="F152" s="118">
        <v>1</v>
      </c>
      <c r="G152" s="42">
        <v>0</v>
      </c>
      <c r="H152" s="100">
        <f t="shared" si="11"/>
        <v>0</v>
      </c>
      <c r="I152" s="100">
        <v>0</v>
      </c>
      <c r="J152" s="36"/>
      <c r="U152" s="11"/>
      <c r="V152" s="4"/>
      <c r="W152" s="4"/>
      <c r="X152" s="4"/>
      <c r="Y152" s="98"/>
    </row>
    <row r="153" spans="1:25" x14ac:dyDescent="0.25">
      <c r="A153" s="12">
        <v>150</v>
      </c>
      <c r="B153" s="73" t="s">
        <v>222</v>
      </c>
      <c r="C153" s="74">
        <v>75</v>
      </c>
      <c r="D153" s="74">
        <v>1</v>
      </c>
      <c r="E153" s="100">
        <v>1</v>
      </c>
      <c r="F153" s="118">
        <v>1</v>
      </c>
      <c r="G153" s="42">
        <v>0</v>
      </c>
      <c r="H153" s="100">
        <f t="shared" si="11"/>
        <v>1</v>
      </c>
      <c r="I153" s="100">
        <v>0</v>
      </c>
      <c r="J153" s="36"/>
      <c r="U153" s="11"/>
      <c r="V153" s="4"/>
      <c r="W153" s="4"/>
      <c r="X153" s="4"/>
      <c r="Y153" s="98"/>
    </row>
    <row r="154" spans="1:25" x14ac:dyDescent="0.25">
      <c r="A154" s="12">
        <v>151</v>
      </c>
      <c r="B154" s="75" t="s">
        <v>223</v>
      </c>
      <c r="C154" s="74">
        <v>77</v>
      </c>
      <c r="D154" s="74">
        <v>1</v>
      </c>
      <c r="E154" s="100">
        <v>1</v>
      </c>
      <c r="F154" s="118">
        <v>1</v>
      </c>
      <c r="G154" s="42">
        <v>0</v>
      </c>
      <c r="H154" s="100">
        <f t="shared" si="11"/>
        <v>1</v>
      </c>
      <c r="I154" s="100">
        <v>0</v>
      </c>
      <c r="J154" s="36"/>
      <c r="U154" s="11"/>
      <c r="V154" s="4"/>
      <c r="W154" s="4"/>
      <c r="X154" s="4"/>
      <c r="Y154" s="98"/>
    </row>
    <row r="155" spans="1:25" x14ac:dyDescent="0.25">
      <c r="A155" s="12">
        <v>152</v>
      </c>
      <c r="B155" s="73" t="s">
        <v>224</v>
      </c>
      <c r="C155" s="74">
        <v>74</v>
      </c>
      <c r="D155" s="74">
        <v>1</v>
      </c>
      <c r="E155" s="100">
        <v>1</v>
      </c>
      <c r="F155" s="118">
        <v>1</v>
      </c>
      <c r="G155" s="42">
        <v>0</v>
      </c>
      <c r="H155" s="100">
        <f t="shared" si="11"/>
        <v>1</v>
      </c>
      <c r="I155" s="100">
        <v>0</v>
      </c>
      <c r="J155" s="36"/>
      <c r="U155" s="11"/>
      <c r="V155" s="4"/>
      <c r="W155" s="4"/>
      <c r="X155" s="4"/>
      <c r="Y155" s="98"/>
    </row>
    <row r="156" spans="1:25" x14ac:dyDescent="0.25">
      <c r="A156" s="12">
        <v>153</v>
      </c>
      <c r="B156" s="75" t="s">
        <v>225</v>
      </c>
      <c r="C156" s="74">
        <v>75</v>
      </c>
      <c r="D156" s="74">
        <v>1</v>
      </c>
      <c r="E156" s="100">
        <v>1</v>
      </c>
      <c r="F156" s="118">
        <v>1</v>
      </c>
      <c r="G156" s="42">
        <v>0</v>
      </c>
      <c r="H156" s="100">
        <f t="shared" si="11"/>
        <v>1</v>
      </c>
      <c r="I156" s="100">
        <v>0</v>
      </c>
      <c r="J156" s="36"/>
      <c r="U156" s="11"/>
      <c r="V156" s="4"/>
      <c r="W156" s="4"/>
      <c r="X156" s="4"/>
      <c r="Y156" s="98"/>
    </row>
    <row r="157" spans="1:25" x14ac:dyDescent="0.25">
      <c r="A157" s="12">
        <v>154</v>
      </c>
      <c r="B157" s="76" t="s">
        <v>226</v>
      </c>
      <c r="C157" s="77">
        <v>66</v>
      </c>
      <c r="D157" s="77">
        <v>0</v>
      </c>
      <c r="E157" s="100">
        <v>1</v>
      </c>
      <c r="F157" s="118">
        <v>1</v>
      </c>
      <c r="G157" s="42">
        <v>0</v>
      </c>
      <c r="H157" s="100">
        <f t="shared" si="11"/>
        <v>0</v>
      </c>
      <c r="I157" s="100" t="s">
        <v>267</v>
      </c>
      <c r="J157" s="36"/>
      <c r="U157" s="11"/>
      <c r="V157" s="4"/>
      <c r="W157" s="4"/>
      <c r="X157" s="4"/>
      <c r="Y157" s="98"/>
    </row>
    <row r="158" spans="1:25" x14ac:dyDescent="0.25">
      <c r="A158" s="12">
        <v>155</v>
      </c>
      <c r="B158" s="76" t="s">
        <v>227</v>
      </c>
      <c r="C158" s="77">
        <v>66</v>
      </c>
      <c r="D158" s="77">
        <v>0</v>
      </c>
      <c r="E158" s="100">
        <v>1</v>
      </c>
      <c r="F158" s="118">
        <v>1</v>
      </c>
      <c r="G158" s="42">
        <v>0</v>
      </c>
      <c r="H158" s="100">
        <f t="shared" si="11"/>
        <v>0</v>
      </c>
      <c r="I158" s="100" t="s">
        <v>265</v>
      </c>
      <c r="J158" s="36"/>
      <c r="U158" s="11"/>
      <c r="V158" s="4"/>
      <c r="W158" s="4"/>
      <c r="X158" s="4"/>
      <c r="Y158" s="98"/>
    </row>
    <row r="159" spans="1:25" x14ac:dyDescent="0.25">
      <c r="A159" s="12">
        <v>156</v>
      </c>
      <c r="B159" s="76" t="s">
        <v>228</v>
      </c>
      <c r="C159" s="77">
        <v>70</v>
      </c>
      <c r="D159" s="77">
        <v>1</v>
      </c>
      <c r="E159" s="100">
        <v>1</v>
      </c>
      <c r="F159" s="118">
        <v>1</v>
      </c>
      <c r="G159" s="42">
        <v>0</v>
      </c>
      <c r="H159" s="100">
        <f t="shared" si="11"/>
        <v>1</v>
      </c>
      <c r="I159" s="100" t="s">
        <v>263</v>
      </c>
      <c r="J159" s="36"/>
      <c r="U159" s="11"/>
      <c r="V159" s="4"/>
      <c r="W159" s="4"/>
      <c r="X159" s="4"/>
      <c r="Y159" s="98"/>
    </row>
    <row r="160" spans="1:25" x14ac:dyDescent="0.25">
      <c r="A160" s="12">
        <v>157</v>
      </c>
      <c r="B160" s="78" t="s">
        <v>229</v>
      </c>
      <c r="C160" s="77">
        <v>38</v>
      </c>
      <c r="D160" s="77">
        <v>0</v>
      </c>
      <c r="E160" s="100">
        <v>1</v>
      </c>
      <c r="F160" s="118">
        <v>1</v>
      </c>
      <c r="G160" s="42">
        <v>0</v>
      </c>
      <c r="H160" s="100">
        <f t="shared" si="11"/>
        <v>0</v>
      </c>
      <c r="I160" s="100">
        <v>0</v>
      </c>
      <c r="J160" s="36"/>
      <c r="U160" s="11"/>
      <c r="V160" s="4"/>
      <c r="W160" s="4"/>
      <c r="X160" s="4"/>
      <c r="Y160" s="98"/>
    </row>
    <row r="161" spans="1:25" x14ac:dyDescent="0.25">
      <c r="A161" s="12">
        <v>158</v>
      </c>
      <c r="B161" s="79" t="s">
        <v>230</v>
      </c>
      <c r="C161" s="77">
        <v>37</v>
      </c>
      <c r="D161" s="77">
        <v>0</v>
      </c>
      <c r="E161" s="100">
        <v>1</v>
      </c>
      <c r="F161" s="118">
        <v>1</v>
      </c>
      <c r="G161" s="42">
        <v>0</v>
      </c>
      <c r="H161" s="100">
        <f t="shared" si="11"/>
        <v>0</v>
      </c>
      <c r="I161" s="100">
        <v>0</v>
      </c>
      <c r="J161" s="36"/>
      <c r="U161" s="11"/>
      <c r="V161" s="4"/>
      <c r="W161" s="4"/>
      <c r="X161" s="4"/>
      <c r="Y161" s="98"/>
    </row>
    <row r="162" spans="1:25" x14ac:dyDescent="0.25">
      <c r="A162" s="12">
        <v>159</v>
      </c>
      <c r="B162" s="78" t="s">
        <v>231</v>
      </c>
      <c r="C162" s="77">
        <v>22</v>
      </c>
      <c r="D162" s="77">
        <v>0</v>
      </c>
      <c r="E162" s="100">
        <v>1</v>
      </c>
      <c r="F162" s="118">
        <v>1</v>
      </c>
      <c r="G162" s="42">
        <v>0</v>
      </c>
      <c r="H162" s="100">
        <f t="shared" si="11"/>
        <v>0</v>
      </c>
      <c r="I162" s="100">
        <v>0</v>
      </c>
      <c r="J162" s="36"/>
      <c r="U162" s="11"/>
      <c r="V162" s="4"/>
      <c r="W162" s="4"/>
      <c r="X162" s="4"/>
      <c r="Y162" s="98"/>
    </row>
    <row r="163" spans="1:25" x14ac:dyDescent="0.25">
      <c r="A163" s="12">
        <v>160</v>
      </c>
      <c r="B163" s="79" t="s">
        <v>232</v>
      </c>
      <c r="C163" s="77">
        <v>57</v>
      </c>
      <c r="D163" s="77">
        <v>0</v>
      </c>
      <c r="E163" s="100">
        <v>1</v>
      </c>
      <c r="F163" s="118">
        <v>1</v>
      </c>
      <c r="G163" s="42">
        <v>0</v>
      </c>
      <c r="H163" s="100">
        <f t="shared" si="11"/>
        <v>0</v>
      </c>
      <c r="I163" s="100">
        <v>0</v>
      </c>
      <c r="J163" s="36"/>
      <c r="U163" s="11"/>
      <c r="V163" s="4"/>
      <c r="W163" s="4"/>
      <c r="X163" s="4"/>
      <c r="Y163" s="98"/>
    </row>
    <row r="164" spans="1:25" x14ac:dyDescent="0.25">
      <c r="A164" s="12">
        <v>161</v>
      </c>
      <c r="B164" s="76" t="s">
        <v>233</v>
      </c>
      <c r="C164" s="77">
        <v>54</v>
      </c>
      <c r="D164" s="77">
        <v>0</v>
      </c>
      <c r="E164" s="100">
        <v>1</v>
      </c>
      <c r="F164" s="118">
        <v>1</v>
      </c>
      <c r="G164" s="42">
        <v>0</v>
      </c>
      <c r="H164" s="100">
        <f t="shared" si="11"/>
        <v>0</v>
      </c>
      <c r="I164" s="100">
        <v>0</v>
      </c>
      <c r="J164" s="36"/>
      <c r="U164" s="11"/>
      <c r="V164" s="4"/>
      <c r="W164" s="4"/>
      <c r="X164" s="4"/>
      <c r="Y164" s="98"/>
    </row>
    <row r="165" spans="1:25" x14ac:dyDescent="0.25">
      <c r="A165" s="12">
        <v>162</v>
      </c>
      <c r="B165" s="78" t="s">
        <v>234</v>
      </c>
      <c r="C165" s="77">
        <v>54</v>
      </c>
      <c r="D165" s="77">
        <v>0</v>
      </c>
      <c r="E165" s="100">
        <v>1</v>
      </c>
      <c r="F165" s="118">
        <v>1</v>
      </c>
      <c r="G165" s="42">
        <v>0</v>
      </c>
      <c r="H165" s="100">
        <f t="shared" si="11"/>
        <v>0</v>
      </c>
      <c r="I165" s="100">
        <v>0</v>
      </c>
      <c r="J165" s="36"/>
      <c r="U165" s="11"/>
      <c r="V165" s="4"/>
      <c r="W165" s="4"/>
      <c r="X165" s="4"/>
      <c r="Y165" s="98"/>
    </row>
    <row r="166" spans="1:25" x14ac:dyDescent="0.25">
      <c r="A166" s="12">
        <v>163</v>
      </c>
      <c r="B166" s="80" t="s">
        <v>235</v>
      </c>
      <c r="C166" s="77">
        <v>53</v>
      </c>
      <c r="D166" s="77">
        <v>0</v>
      </c>
      <c r="E166" s="100">
        <v>1</v>
      </c>
      <c r="F166" s="118">
        <v>1</v>
      </c>
      <c r="G166" s="42">
        <v>0</v>
      </c>
      <c r="H166" s="100">
        <f t="shared" si="11"/>
        <v>0</v>
      </c>
      <c r="I166" s="100">
        <v>0</v>
      </c>
      <c r="J166" s="36"/>
      <c r="U166" s="11"/>
      <c r="V166" s="4"/>
      <c r="W166" s="4"/>
      <c r="X166" s="4"/>
      <c r="Y166" s="98"/>
    </row>
    <row r="167" spans="1:25" x14ac:dyDescent="0.25">
      <c r="A167" s="12">
        <v>164</v>
      </c>
      <c r="B167" s="78" t="s">
        <v>236</v>
      </c>
      <c r="C167" s="77">
        <v>53</v>
      </c>
      <c r="D167" s="77">
        <v>0</v>
      </c>
      <c r="E167" s="100">
        <v>1</v>
      </c>
      <c r="F167" s="118">
        <v>1</v>
      </c>
      <c r="G167" s="42">
        <v>0</v>
      </c>
      <c r="H167" s="100">
        <f t="shared" si="11"/>
        <v>0</v>
      </c>
      <c r="I167" s="100">
        <v>0</v>
      </c>
      <c r="J167" s="36"/>
      <c r="U167" s="11"/>
      <c r="V167" s="4"/>
      <c r="W167" s="4"/>
      <c r="X167" s="4"/>
      <c r="Y167" s="98"/>
    </row>
    <row r="168" spans="1:25" x14ac:dyDescent="0.25">
      <c r="A168" s="12">
        <v>165</v>
      </c>
      <c r="B168" s="81" t="s">
        <v>237</v>
      </c>
      <c r="C168" s="77">
        <v>54</v>
      </c>
      <c r="D168" s="77">
        <v>0</v>
      </c>
      <c r="E168" s="100">
        <v>1</v>
      </c>
      <c r="F168" s="118">
        <v>1</v>
      </c>
      <c r="G168" s="42">
        <v>0</v>
      </c>
      <c r="H168" s="100">
        <f t="shared" si="11"/>
        <v>0</v>
      </c>
      <c r="I168" s="100">
        <v>0</v>
      </c>
      <c r="J168" s="36"/>
      <c r="U168" s="11"/>
      <c r="V168" s="4"/>
      <c r="W168" s="4"/>
      <c r="X168" s="4"/>
      <c r="Y168" s="98"/>
    </row>
    <row r="169" spans="1:25" x14ac:dyDescent="0.25">
      <c r="A169" s="12">
        <v>166</v>
      </c>
      <c r="B169" s="82" t="s">
        <v>238</v>
      </c>
      <c r="C169" s="77">
        <v>54</v>
      </c>
      <c r="D169" s="77">
        <v>0</v>
      </c>
      <c r="E169" s="100">
        <v>1</v>
      </c>
      <c r="F169" s="118">
        <v>1</v>
      </c>
      <c r="G169" s="42">
        <v>0</v>
      </c>
      <c r="H169" s="100">
        <f t="shared" si="11"/>
        <v>0</v>
      </c>
      <c r="I169" s="100">
        <v>0</v>
      </c>
      <c r="J169" s="36"/>
      <c r="U169" s="11"/>
      <c r="V169" s="4"/>
      <c r="W169" s="4"/>
      <c r="X169" s="4"/>
      <c r="Y169" s="98"/>
    </row>
    <row r="170" spans="1:25" x14ac:dyDescent="0.25">
      <c r="A170" s="12">
        <v>167</v>
      </c>
      <c r="B170" s="83" t="s">
        <v>239</v>
      </c>
      <c r="C170" s="77">
        <v>30</v>
      </c>
      <c r="D170" s="77">
        <v>0</v>
      </c>
      <c r="E170" s="100">
        <v>1</v>
      </c>
      <c r="F170" s="118">
        <v>1</v>
      </c>
      <c r="G170" s="42">
        <v>0</v>
      </c>
      <c r="H170" s="100">
        <f t="shared" si="11"/>
        <v>0</v>
      </c>
      <c r="I170" s="100">
        <v>0</v>
      </c>
      <c r="J170" s="36"/>
      <c r="U170" s="11"/>
      <c r="V170" s="4"/>
      <c r="W170" s="4"/>
      <c r="X170" s="4"/>
      <c r="Y170" s="98"/>
    </row>
    <row r="171" spans="1:25" x14ac:dyDescent="0.25">
      <c r="A171" s="12">
        <v>168</v>
      </c>
      <c r="B171" s="84" t="s">
        <v>240</v>
      </c>
      <c r="C171" s="77">
        <v>18</v>
      </c>
      <c r="D171" s="77">
        <v>0</v>
      </c>
      <c r="E171" s="100">
        <v>1</v>
      </c>
      <c r="F171" s="118">
        <v>1</v>
      </c>
      <c r="G171" s="42">
        <v>1</v>
      </c>
      <c r="H171" s="100">
        <f t="shared" si="11"/>
        <v>0</v>
      </c>
      <c r="I171" s="100">
        <v>0</v>
      </c>
      <c r="J171" s="36"/>
      <c r="U171" s="11"/>
      <c r="V171" s="4"/>
      <c r="W171" s="4"/>
      <c r="X171" s="4"/>
      <c r="Y171" s="98"/>
    </row>
    <row r="172" spans="1:25" x14ac:dyDescent="0.25">
      <c r="A172" s="12">
        <v>169</v>
      </c>
      <c r="B172" s="81" t="s">
        <v>241</v>
      </c>
      <c r="C172" s="77">
        <v>32</v>
      </c>
      <c r="D172" s="77">
        <v>0</v>
      </c>
      <c r="E172" s="100">
        <v>1</v>
      </c>
      <c r="F172" s="118">
        <v>1</v>
      </c>
      <c r="G172" s="42">
        <v>0</v>
      </c>
      <c r="H172" s="100">
        <f t="shared" si="11"/>
        <v>0</v>
      </c>
      <c r="I172" s="100">
        <v>0</v>
      </c>
      <c r="J172" s="36"/>
      <c r="U172" s="11"/>
      <c r="V172" s="4"/>
      <c r="W172" s="4"/>
      <c r="X172" s="4"/>
      <c r="Y172" s="98"/>
    </row>
    <row r="173" spans="1:25" x14ac:dyDescent="0.25">
      <c r="A173" s="12">
        <v>170</v>
      </c>
      <c r="B173" s="82" t="s">
        <v>242</v>
      </c>
      <c r="C173" s="77">
        <v>19</v>
      </c>
      <c r="D173" s="77">
        <v>0</v>
      </c>
      <c r="E173" s="100">
        <v>1</v>
      </c>
      <c r="F173" s="118">
        <v>1</v>
      </c>
      <c r="G173" s="42">
        <v>0</v>
      </c>
      <c r="H173" s="100">
        <f t="shared" si="11"/>
        <v>0</v>
      </c>
      <c r="I173" s="100">
        <v>0</v>
      </c>
      <c r="J173" s="36"/>
      <c r="U173" s="11"/>
      <c r="V173" s="4"/>
      <c r="W173" s="4"/>
      <c r="X173" s="4"/>
      <c r="Y173" s="98"/>
    </row>
    <row r="174" spans="1:25" x14ac:dyDescent="0.25">
      <c r="A174" s="12">
        <v>171</v>
      </c>
      <c r="B174" s="76" t="s">
        <v>243</v>
      </c>
      <c r="C174" s="77">
        <v>55</v>
      </c>
      <c r="D174" s="77">
        <v>0</v>
      </c>
      <c r="E174" s="100">
        <v>1</v>
      </c>
      <c r="F174" s="118">
        <v>1</v>
      </c>
      <c r="G174" s="42">
        <v>0</v>
      </c>
      <c r="H174" s="100">
        <f t="shared" si="11"/>
        <v>0</v>
      </c>
      <c r="I174" s="100">
        <v>0</v>
      </c>
      <c r="J174" s="36"/>
      <c r="U174" s="11"/>
      <c r="V174" s="4"/>
      <c r="W174" s="4"/>
      <c r="X174" s="4"/>
      <c r="Y174" s="98"/>
    </row>
    <row r="175" spans="1:25" x14ac:dyDescent="0.25">
      <c r="A175" s="12"/>
      <c r="B175" s="20"/>
      <c r="C175" s="20"/>
      <c r="D175" s="20"/>
      <c r="E175" s="4"/>
      <c r="F175" s="4"/>
      <c r="G175" s="42"/>
      <c r="H175" s="4"/>
      <c r="I175" s="4"/>
      <c r="J175" s="36"/>
      <c r="U175" s="11"/>
      <c r="V175" s="4"/>
      <c r="W175" s="4"/>
      <c r="X175" s="4"/>
      <c r="Y175" s="98"/>
    </row>
    <row r="176" spans="1:25" x14ac:dyDescent="0.25">
      <c r="A176" s="12"/>
      <c r="B176" s="20"/>
      <c r="C176" s="20"/>
      <c r="D176" s="20"/>
      <c r="E176" s="4"/>
      <c r="F176" s="4"/>
      <c r="G176" s="42"/>
      <c r="H176" s="4"/>
      <c r="I176" s="4"/>
      <c r="J176" s="36"/>
      <c r="U176" s="11"/>
      <c r="V176" s="4"/>
      <c r="W176" s="4"/>
      <c r="X176" s="4"/>
      <c r="Y176" s="98"/>
    </row>
    <row r="177" spans="1:25" x14ac:dyDescent="0.25">
      <c r="A177" s="15"/>
      <c r="B177" s="20"/>
      <c r="C177" s="4"/>
      <c r="D177" s="117"/>
      <c r="E177" s="4"/>
      <c r="F177" s="4"/>
      <c r="G177" s="42"/>
      <c r="H177" s="4"/>
      <c r="I177" s="4"/>
      <c r="J177" s="36"/>
      <c r="U177" s="11"/>
      <c r="V177" s="4"/>
      <c r="W177" s="4"/>
      <c r="X177" s="4"/>
      <c r="Y177" s="98"/>
    </row>
    <row r="178" spans="1:25" x14ac:dyDescent="0.25">
      <c r="A178" s="15"/>
      <c r="B178" s="20"/>
      <c r="C178" s="4"/>
      <c r="D178" s="117"/>
      <c r="E178" s="4"/>
      <c r="F178" s="4"/>
      <c r="G178" s="42"/>
      <c r="H178" s="4"/>
      <c r="I178" s="4"/>
      <c r="J178" s="36"/>
      <c r="U178" s="11"/>
      <c r="V178" s="4"/>
      <c r="W178" s="4"/>
      <c r="X178" s="4"/>
      <c r="Y178" s="98"/>
    </row>
    <row r="179" spans="1:25" x14ac:dyDescent="0.25">
      <c r="A179" s="15"/>
      <c r="B179" s="21"/>
      <c r="C179" s="4"/>
      <c r="D179" s="117"/>
      <c r="E179" s="4"/>
      <c r="F179" s="4"/>
      <c r="G179" s="42"/>
      <c r="H179" s="4"/>
      <c r="I179" s="4"/>
      <c r="J179" s="36"/>
      <c r="U179" s="11"/>
      <c r="V179" s="4"/>
      <c r="W179" s="4"/>
      <c r="X179" s="4"/>
      <c r="Y179" s="98"/>
    </row>
    <row r="180" spans="1:25" x14ac:dyDescent="0.25">
      <c r="A180" s="15"/>
      <c r="B180" s="21"/>
      <c r="C180" s="4"/>
      <c r="D180" s="117"/>
      <c r="E180" s="4"/>
      <c r="F180" s="4"/>
      <c r="G180" s="42"/>
      <c r="H180" s="4"/>
      <c r="I180" s="4"/>
      <c r="J180" s="36"/>
      <c r="U180" s="11"/>
      <c r="V180" s="4"/>
      <c r="W180" s="4"/>
      <c r="X180" s="4"/>
      <c r="Y180" s="98"/>
    </row>
    <row r="181" spans="1:25" x14ac:dyDescent="0.25">
      <c r="A181" s="15"/>
      <c r="B181" s="21"/>
      <c r="C181" s="4"/>
      <c r="D181" s="117"/>
      <c r="E181" s="4"/>
      <c r="F181" s="4"/>
      <c r="G181" s="42"/>
      <c r="H181" s="4"/>
      <c r="I181" s="4"/>
      <c r="J181" s="36"/>
      <c r="U181" s="11"/>
      <c r="V181" s="4"/>
      <c r="W181" s="4"/>
      <c r="X181" s="4"/>
      <c r="Y181" s="98"/>
    </row>
    <row r="182" spans="1:25" x14ac:dyDescent="0.25">
      <c r="A182" s="15"/>
      <c r="B182" s="20"/>
      <c r="C182" s="4"/>
      <c r="D182" s="117"/>
      <c r="E182" s="4"/>
      <c r="F182" s="4"/>
      <c r="G182" s="42"/>
      <c r="H182" s="4"/>
      <c r="I182" s="4"/>
      <c r="J182" s="36"/>
      <c r="U182" s="11"/>
      <c r="V182" s="4"/>
      <c r="W182" s="4"/>
      <c r="X182" s="4"/>
      <c r="Y182" s="98"/>
    </row>
    <row r="183" spans="1:25" x14ac:dyDescent="0.25">
      <c r="A183" s="15"/>
      <c r="B183" s="20"/>
      <c r="C183" s="4"/>
      <c r="D183" s="117"/>
      <c r="E183" s="4"/>
      <c r="F183" s="4"/>
      <c r="G183" s="42"/>
      <c r="H183" s="4"/>
      <c r="I183" s="4"/>
      <c r="J183" s="36"/>
      <c r="U183" s="11"/>
      <c r="V183" s="4"/>
      <c r="W183" s="4"/>
      <c r="X183" s="4"/>
      <c r="Y183" s="98"/>
    </row>
    <row r="184" spans="1:25" x14ac:dyDescent="0.25">
      <c r="A184" s="15"/>
      <c r="B184" s="21"/>
      <c r="C184" s="4"/>
      <c r="D184" s="117"/>
      <c r="E184" s="4"/>
      <c r="F184" s="4"/>
      <c r="G184" s="42"/>
      <c r="H184" s="4"/>
      <c r="I184" s="4"/>
      <c r="J184" s="36"/>
      <c r="U184" s="11"/>
      <c r="V184" s="4"/>
      <c r="W184" s="4"/>
      <c r="X184" s="4"/>
      <c r="Y184" s="98"/>
    </row>
    <row r="185" spans="1:25" x14ac:dyDescent="0.25">
      <c r="A185" s="15"/>
      <c r="B185" s="21"/>
      <c r="C185" s="4"/>
      <c r="D185" s="117"/>
      <c r="E185" s="4"/>
      <c r="F185" s="4"/>
      <c r="G185" s="42"/>
      <c r="H185" s="4"/>
      <c r="I185" s="4"/>
      <c r="J185" s="36"/>
      <c r="U185" s="11"/>
      <c r="V185" s="4"/>
      <c r="W185" s="4"/>
      <c r="X185" s="4"/>
      <c r="Y185" s="98"/>
    </row>
    <row r="186" spans="1:25" x14ac:dyDescent="0.25">
      <c r="A186" s="15"/>
      <c r="B186" s="21"/>
      <c r="C186" s="4"/>
      <c r="D186" s="117"/>
      <c r="E186" s="4"/>
      <c r="F186" s="4"/>
      <c r="G186" s="42"/>
      <c r="H186" s="4"/>
      <c r="I186" s="4"/>
      <c r="J186" s="36"/>
      <c r="U186" s="11"/>
      <c r="V186" s="4"/>
      <c r="W186" s="4"/>
      <c r="X186" s="4"/>
      <c r="Y186" s="98"/>
    </row>
    <row r="187" spans="1:25" x14ac:dyDescent="0.25">
      <c r="A187" s="15"/>
      <c r="B187" s="20"/>
      <c r="C187" s="4"/>
      <c r="D187" s="117"/>
      <c r="E187" s="4"/>
      <c r="F187" s="4"/>
      <c r="G187" s="42"/>
      <c r="H187" s="4"/>
      <c r="I187" s="4"/>
      <c r="J187" s="36"/>
      <c r="U187" s="11"/>
      <c r="V187" s="4"/>
      <c r="W187" s="4"/>
      <c r="X187" s="4"/>
      <c r="Y187" s="98"/>
    </row>
    <row r="188" spans="1:25" x14ac:dyDescent="0.25">
      <c r="A188" s="15"/>
      <c r="B188" s="20"/>
      <c r="C188" s="4"/>
      <c r="D188" s="117"/>
      <c r="E188" s="4"/>
      <c r="F188" s="4"/>
      <c r="G188" s="42"/>
      <c r="H188" s="4"/>
      <c r="I188" s="4"/>
      <c r="J188" s="36"/>
      <c r="U188" s="11"/>
      <c r="V188" s="4"/>
      <c r="W188" s="4"/>
      <c r="X188" s="4"/>
      <c r="Y188" s="98"/>
    </row>
    <row r="189" spans="1:25" x14ac:dyDescent="0.25">
      <c r="A189" s="15"/>
      <c r="B189" s="21"/>
      <c r="C189" s="4"/>
      <c r="D189" s="117"/>
      <c r="E189" s="4"/>
      <c r="F189" s="4"/>
      <c r="G189" s="42"/>
      <c r="H189" s="4"/>
      <c r="I189" s="4"/>
      <c r="J189" s="36"/>
      <c r="U189" s="11"/>
      <c r="V189" s="4"/>
      <c r="W189" s="4"/>
      <c r="X189" s="4"/>
      <c r="Y189" s="98"/>
    </row>
    <row r="190" spans="1:25" x14ac:dyDescent="0.25">
      <c r="A190" s="15"/>
      <c r="B190" s="21"/>
      <c r="C190" s="4"/>
      <c r="D190" s="117"/>
      <c r="E190" s="4"/>
      <c r="F190" s="4"/>
      <c r="G190" s="42"/>
      <c r="H190" s="4"/>
      <c r="I190" s="4"/>
      <c r="J190" s="36"/>
      <c r="U190" s="11"/>
      <c r="V190" s="4"/>
      <c r="W190" s="4"/>
      <c r="X190" s="4"/>
      <c r="Y190" s="98"/>
    </row>
    <row r="191" spans="1:25" x14ac:dyDescent="0.25">
      <c r="A191" s="15"/>
      <c r="B191" s="21"/>
      <c r="C191" s="4"/>
      <c r="D191" s="117"/>
      <c r="E191" s="4"/>
      <c r="F191" s="4"/>
      <c r="G191" s="42"/>
      <c r="H191" s="4"/>
      <c r="I191" s="4"/>
      <c r="J191" s="36"/>
      <c r="U191" s="11"/>
      <c r="V191" s="4"/>
      <c r="W191" s="4"/>
      <c r="X191" s="4"/>
      <c r="Y191" s="98"/>
    </row>
    <row r="192" spans="1:25" x14ac:dyDescent="0.25">
      <c r="A192" s="15"/>
      <c r="B192" s="20"/>
      <c r="C192" s="4"/>
      <c r="D192" s="117"/>
      <c r="E192" s="4"/>
      <c r="F192" s="4"/>
      <c r="G192" s="42"/>
      <c r="H192" s="4"/>
      <c r="I192" s="4"/>
      <c r="J192" s="36"/>
      <c r="U192" s="11"/>
      <c r="V192" s="4"/>
      <c r="W192" s="4"/>
      <c r="X192" s="4"/>
      <c r="Y192" s="98"/>
    </row>
    <row r="193" spans="1:25" x14ac:dyDescent="0.25">
      <c r="A193" s="15"/>
      <c r="B193" s="20"/>
      <c r="C193" s="4"/>
      <c r="D193" s="117"/>
      <c r="E193" s="4"/>
      <c r="F193" s="4"/>
      <c r="G193" s="42"/>
      <c r="H193" s="4"/>
      <c r="I193" s="4"/>
      <c r="J193" s="36"/>
      <c r="U193" s="11"/>
      <c r="V193" s="4"/>
      <c r="W193" s="4"/>
      <c r="X193" s="4"/>
      <c r="Y193" s="98"/>
    </row>
    <row r="194" spans="1:25" x14ac:dyDescent="0.25">
      <c r="A194" s="15"/>
      <c r="B194" s="21"/>
      <c r="C194" s="4"/>
      <c r="D194" s="117"/>
      <c r="E194" s="4"/>
      <c r="F194" s="4"/>
      <c r="G194" s="42"/>
      <c r="H194" s="4"/>
      <c r="I194" s="4"/>
      <c r="J194" s="36"/>
      <c r="U194" s="11"/>
      <c r="V194" s="4"/>
      <c r="W194" s="4"/>
      <c r="X194" s="4"/>
      <c r="Y194" s="98"/>
    </row>
    <row r="195" spans="1:25" x14ac:dyDescent="0.25">
      <c r="A195" s="15"/>
      <c r="B195" s="21"/>
      <c r="C195" s="4"/>
      <c r="D195" s="117"/>
      <c r="E195" s="4"/>
      <c r="F195" s="4"/>
      <c r="G195" s="42"/>
      <c r="H195" s="4"/>
      <c r="I195" s="4"/>
      <c r="J195" s="36"/>
      <c r="U195" s="11"/>
      <c r="V195" s="4"/>
      <c r="W195" s="4"/>
      <c r="X195" s="4"/>
      <c r="Y195" s="98"/>
    </row>
    <row r="196" spans="1:25" x14ac:dyDescent="0.25">
      <c r="A196" s="15"/>
      <c r="B196" s="21"/>
      <c r="C196" s="4"/>
      <c r="D196" s="117"/>
      <c r="E196" s="4"/>
      <c r="F196" s="4"/>
      <c r="G196" s="4"/>
      <c r="H196" s="4"/>
      <c r="I196" s="4"/>
      <c r="J196" s="36"/>
      <c r="U196" s="11"/>
      <c r="V196" s="4"/>
      <c r="W196" s="4"/>
      <c r="X196" s="4"/>
      <c r="Y196" s="98"/>
    </row>
    <row r="197" spans="1:25" x14ac:dyDescent="0.25">
      <c r="A197" s="15"/>
      <c r="B197" s="20"/>
      <c r="C197" s="4"/>
      <c r="D197" s="117"/>
      <c r="E197" s="4"/>
      <c r="F197" s="4"/>
      <c r="G197" s="4"/>
      <c r="H197" s="4"/>
      <c r="I197" s="4"/>
      <c r="J197" s="36"/>
      <c r="U197" s="11"/>
      <c r="V197" s="4"/>
      <c r="W197" s="4"/>
      <c r="X197" s="4"/>
      <c r="Y197" s="98"/>
    </row>
    <row r="198" spans="1:25" x14ac:dyDescent="0.25">
      <c r="A198" s="15"/>
      <c r="B198" s="20"/>
      <c r="C198" s="4"/>
      <c r="D198" s="117"/>
      <c r="E198" s="4"/>
      <c r="F198" s="4"/>
      <c r="G198" s="4"/>
      <c r="H198" s="4"/>
      <c r="I198" s="4"/>
      <c r="J198" s="36"/>
      <c r="U198" s="11"/>
      <c r="V198" s="4"/>
      <c r="W198" s="4"/>
      <c r="X198" s="4"/>
      <c r="Y198" s="98"/>
    </row>
    <row r="199" spans="1:25" x14ac:dyDescent="0.25">
      <c r="A199" s="15"/>
      <c r="B199" s="21"/>
      <c r="C199" s="4"/>
      <c r="D199" s="117"/>
      <c r="E199" s="4"/>
      <c r="F199" s="4"/>
      <c r="G199" s="4"/>
      <c r="H199" s="4"/>
      <c r="I199" s="4"/>
      <c r="J199" s="36"/>
      <c r="U199" s="11"/>
      <c r="V199" s="4"/>
      <c r="W199" s="4"/>
      <c r="X199" s="4"/>
      <c r="Y199" s="98"/>
    </row>
    <row r="200" spans="1:25" x14ac:dyDescent="0.25">
      <c r="A200" s="15"/>
      <c r="B200" s="21"/>
      <c r="C200" s="4"/>
      <c r="D200" s="117"/>
      <c r="E200" s="4"/>
      <c r="F200" s="4"/>
      <c r="G200" s="4"/>
      <c r="H200" s="4"/>
      <c r="I200" s="4"/>
      <c r="J200" s="36"/>
      <c r="U200" s="11"/>
      <c r="V200" s="4"/>
      <c r="W200" s="4"/>
      <c r="X200" s="4"/>
      <c r="Y200" s="98"/>
    </row>
    <row r="201" spans="1:25" x14ac:dyDescent="0.25">
      <c r="A201" s="15"/>
      <c r="B201" s="21"/>
      <c r="C201" s="4"/>
      <c r="D201" s="117"/>
      <c r="E201" s="4"/>
      <c r="F201" s="4"/>
      <c r="G201" s="4"/>
      <c r="H201" s="4"/>
      <c r="I201" s="4"/>
      <c r="J201" s="36"/>
      <c r="U201" s="11"/>
      <c r="V201" s="4"/>
      <c r="W201" s="4"/>
      <c r="X201" s="4"/>
      <c r="Y201" s="98"/>
    </row>
    <row r="202" spans="1:25" x14ac:dyDescent="0.25">
      <c r="A202" s="15"/>
      <c r="B202" s="20"/>
      <c r="C202" s="4"/>
      <c r="D202" s="117"/>
      <c r="E202" s="4"/>
      <c r="F202" s="4"/>
      <c r="G202" s="4"/>
      <c r="H202" s="4"/>
      <c r="I202" s="4"/>
      <c r="J202" s="36"/>
      <c r="U202" s="11"/>
      <c r="V202" s="4"/>
      <c r="W202" s="4"/>
      <c r="X202" s="4"/>
      <c r="Y202" s="98"/>
    </row>
    <row r="203" spans="1:25" x14ac:dyDescent="0.25">
      <c r="A203" s="15"/>
      <c r="B203" s="20"/>
      <c r="C203" s="4"/>
      <c r="D203" s="117"/>
      <c r="E203" s="4"/>
      <c r="F203" s="4"/>
      <c r="G203" s="4"/>
      <c r="H203" s="4"/>
      <c r="I203" s="4"/>
      <c r="J203" s="36"/>
      <c r="U203" s="11"/>
      <c r="V203" s="4"/>
      <c r="W203" s="4"/>
      <c r="X203" s="4"/>
      <c r="Y203" s="98"/>
    </row>
    <row r="204" spans="1:25" x14ac:dyDescent="0.25">
      <c r="A204" s="11"/>
      <c r="B204" s="11"/>
      <c r="C204" s="11"/>
      <c r="D204" s="11"/>
      <c r="E204" s="11"/>
      <c r="F204" s="11"/>
      <c r="G204" s="11"/>
      <c r="H204" s="11"/>
      <c r="I204" s="11"/>
      <c r="U204" s="11"/>
      <c r="V204" s="4"/>
      <c r="W204" s="4"/>
      <c r="X204" s="4"/>
      <c r="Y204" s="98"/>
    </row>
    <row r="205" spans="1:25" x14ac:dyDescent="0.25">
      <c r="A205" s="11"/>
      <c r="B205" s="11"/>
      <c r="C205" s="11"/>
      <c r="D205" s="11"/>
      <c r="E205" s="11"/>
      <c r="F205" s="11"/>
      <c r="G205" s="11"/>
      <c r="H205" s="11"/>
      <c r="I205" s="11"/>
    </row>
    <row r="206" spans="1:25" x14ac:dyDescent="0.25">
      <c r="A206" s="11"/>
      <c r="B206" s="11"/>
      <c r="C206" s="11"/>
      <c r="D206" s="11"/>
      <c r="E206" s="11"/>
      <c r="F206" s="11"/>
      <c r="G206" s="11"/>
      <c r="H206" s="11"/>
      <c r="I206" s="11"/>
    </row>
    <row r="207" spans="1:25" x14ac:dyDescent="0.25">
      <c r="A207" s="11"/>
      <c r="B207" s="11"/>
      <c r="C207" s="11"/>
      <c r="D207" s="11"/>
      <c r="E207" s="11"/>
      <c r="F207" s="11"/>
      <c r="G207" s="11"/>
      <c r="H207" s="11"/>
      <c r="I207" s="11"/>
    </row>
    <row r="208" spans="1:25" x14ac:dyDescent="0.25">
      <c r="A208" s="11"/>
      <c r="B208" s="11"/>
      <c r="C208" s="11"/>
      <c r="D208" s="11"/>
      <c r="E208" s="11"/>
      <c r="F208" s="11"/>
      <c r="G208" s="11"/>
      <c r="H208" s="11"/>
      <c r="I208" s="11"/>
    </row>
    <row r="209" spans="1:9" x14ac:dyDescent="0.25">
      <c r="A209" s="11"/>
      <c r="B209" s="11"/>
      <c r="C209" s="11"/>
      <c r="D209" s="11"/>
      <c r="E209" s="11"/>
      <c r="F209" s="11"/>
      <c r="G209" s="11"/>
      <c r="H209" s="11"/>
      <c r="I209" s="11"/>
    </row>
    <row r="210" spans="1:9" x14ac:dyDescent="0.25">
      <c r="A210" s="11"/>
      <c r="B210" s="11"/>
      <c r="C210" s="11"/>
      <c r="D210" s="11"/>
      <c r="E210" s="11"/>
      <c r="F210" s="11"/>
      <c r="G210" s="11"/>
      <c r="H210" s="11"/>
      <c r="I210" s="11"/>
    </row>
    <row r="211" spans="1:9" x14ac:dyDescent="0.25">
      <c r="A211" s="11"/>
      <c r="B211" s="11"/>
      <c r="C211" s="11"/>
      <c r="D211" s="11"/>
      <c r="E211" s="11"/>
      <c r="F211" s="11"/>
      <c r="G211" s="11"/>
      <c r="H211" s="11"/>
      <c r="I211" s="11"/>
    </row>
    <row r="212" spans="1:9" x14ac:dyDescent="0.25">
      <c r="A212" s="11"/>
      <c r="B212" s="11"/>
      <c r="C212" s="11"/>
      <c r="D212" s="11"/>
      <c r="E212" s="11"/>
      <c r="F212" s="11"/>
      <c r="G212" s="11"/>
      <c r="H212" s="11"/>
      <c r="I212" s="11"/>
    </row>
    <row r="213" spans="1:9" x14ac:dyDescent="0.25">
      <c r="A213" s="11"/>
      <c r="B213" s="11"/>
      <c r="C213" s="11"/>
      <c r="D213" s="11"/>
      <c r="E213" s="11"/>
      <c r="F213" s="11"/>
      <c r="G213" s="11"/>
      <c r="H213" s="11"/>
      <c r="I213" s="11"/>
    </row>
    <row r="214" spans="1:9" x14ac:dyDescent="0.25">
      <c r="A214" s="11"/>
      <c r="B214" s="11"/>
      <c r="C214" s="11"/>
      <c r="D214" s="11"/>
      <c r="E214" s="11"/>
      <c r="F214" s="11"/>
      <c r="G214" s="11"/>
      <c r="H214" s="11"/>
      <c r="I214" s="11"/>
    </row>
    <row r="215" spans="1:9" x14ac:dyDescent="0.25">
      <c r="A215" s="11"/>
      <c r="B215" s="11"/>
      <c r="C215" s="11"/>
      <c r="D215" s="11"/>
      <c r="E215" s="11"/>
      <c r="F215" s="11"/>
      <c r="G215" s="11"/>
      <c r="H215" s="11"/>
      <c r="I215" s="11"/>
    </row>
    <row r="216" spans="1:9" x14ac:dyDescent="0.25">
      <c r="A216" s="11"/>
      <c r="B216" s="11"/>
      <c r="C216" s="11"/>
      <c r="D216" s="11"/>
      <c r="E216" s="11"/>
      <c r="F216" s="11"/>
      <c r="G216" s="11"/>
      <c r="H216" s="11"/>
      <c r="I216" s="11"/>
    </row>
    <row r="217" spans="1:9" x14ac:dyDescent="0.25">
      <c r="A217" s="11"/>
      <c r="B217" s="11"/>
      <c r="C217" s="11"/>
      <c r="D217" s="11"/>
      <c r="E217" s="11"/>
      <c r="F217" s="11"/>
      <c r="G217" s="11"/>
      <c r="H217" s="11"/>
      <c r="I217" s="11"/>
    </row>
    <row r="218" spans="1:9" x14ac:dyDescent="0.25">
      <c r="A218" s="11"/>
      <c r="B218" s="11"/>
      <c r="C218" s="11"/>
      <c r="D218" s="11"/>
      <c r="E218" s="11"/>
      <c r="F218" s="11"/>
      <c r="G218" s="11"/>
      <c r="H218" s="11"/>
      <c r="I218" s="11"/>
    </row>
    <row r="219" spans="1:9" x14ac:dyDescent="0.25">
      <c r="A219" s="11"/>
      <c r="B219" s="11"/>
      <c r="C219" s="11"/>
      <c r="D219" s="11"/>
      <c r="E219" s="11"/>
      <c r="F219" s="11"/>
      <c r="G219" s="11"/>
      <c r="H219" s="11"/>
      <c r="I219" s="11"/>
    </row>
    <row r="220" spans="1:9" x14ac:dyDescent="0.25">
      <c r="A220" s="11"/>
      <c r="B220" s="11"/>
      <c r="C220" s="11"/>
      <c r="D220" s="11"/>
      <c r="E220" s="11"/>
      <c r="F220" s="11"/>
      <c r="G220" s="11"/>
      <c r="H220" s="11"/>
      <c r="I220" s="11"/>
    </row>
    <row r="221" spans="1:9" x14ac:dyDescent="0.25">
      <c r="A221" s="11"/>
      <c r="B221" s="11"/>
      <c r="C221" s="11"/>
      <c r="D221" s="11"/>
      <c r="E221" s="11"/>
      <c r="F221" s="11"/>
      <c r="G221" s="11"/>
      <c r="H221" s="11"/>
      <c r="I221" s="11"/>
    </row>
    <row r="222" spans="1:9" x14ac:dyDescent="0.25">
      <c r="A222" s="11"/>
      <c r="B222" s="11"/>
      <c r="C222" s="11"/>
      <c r="D222" s="11"/>
      <c r="E222" s="11"/>
      <c r="F222" s="11"/>
      <c r="G222" s="11"/>
      <c r="H222" s="11"/>
      <c r="I222" s="11"/>
    </row>
    <row r="223" spans="1:9" x14ac:dyDescent="0.25">
      <c r="A223" s="11"/>
      <c r="B223" s="11"/>
      <c r="C223" s="11"/>
      <c r="D223" s="11"/>
      <c r="E223" s="11"/>
      <c r="F223" s="11"/>
      <c r="G223" s="11"/>
      <c r="H223" s="11"/>
      <c r="I223" s="11"/>
    </row>
    <row r="224" spans="1:9" x14ac:dyDescent="0.25">
      <c r="A224" s="11"/>
      <c r="B224" s="11"/>
      <c r="C224" s="11"/>
      <c r="D224" s="11"/>
      <c r="E224" s="11"/>
      <c r="F224" s="11"/>
      <c r="G224" s="11"/>
      <c r="H224" s="11"/>
      <c r="I224" s="11"/>
    </row>
    <row r="225" spans="1:9" x14ac:dyDescent="0.25">
      <c r="A225" s="11"/>
      <c r="B225" s="11"/>
      <c r="C225" s="11"/>
      <c r="D225" s="11"/>
      <c r="E225" s="11"/>
      <c r="F225" s="11"/>
      <c r="G225" s="11"/>
      <c r="H225" s="11"/>
      <c r="I225" s="11"/>
    </row>
    <row r="226" spans="1:9" x14ac:dyDescent="0.25">
      <c r="A226" s="11"/>
      <c r="B226" s="11"/>
      <c r="C226" s="11"/>
      <c r="D226" s="11"/>
      <c r="E226" s="11"/>
      <c r="F226" s="11"/>
      <c r="G226" s="11"/>
      <c r="H226" s="11"/>
      <c r="I226" s="11"/>
    </row>
    <row r="227" spans="1:9" x14ac:dyDescent="0.25">
      <c r="A227" s="11"/>
      <c r="B227" s="11"/>
      <c r="C227" s="11"/>
      <c r="D227" s="11"/>
      <c r="E227" s="11"/>
      <c r="F227" s="11"/>
      <c r="G227" s="11"/>
      <c r="H227" s="11"/>
      <c r="I227" s="11"/>
    </row>
    <row r="228" spans="1:9" x14ac:dyDescent="0.25">
      <c r="A228" s="11"/>
      <c r="B228" s="11"/>
      <c r="C228" s="11"/>
      <c r="D228" s="11"/>
      <c r="E228" s="11"/>
      <c r="F228" s="11"/>
      <c r="G228" s="11"/>
      <c r="H228" s="11"/>
      <c r="I228" s="11"/>
    </row>
    <row r="229" spans="1:9" x14ac:dyDescent="0.25">
      <c r="A229" s="11"/>
      <c r="B229" s="11"/>
      <c r="C229" s="11"/>
      <c r="D229" s="11"/>
      <c r="E229" s="11"/>
      <c r="F229" s="11"/>
      <c r="G229" s="11"/>
      <c r="H229" s="11"/>
      <c r="I229" s="11"/>
    </row>
    <row r="230" spans="1:9" x14ac:dyDescent="0.25">
      <c r="A230" s="11"/>
      <c r="B230" s="11"/>
      <c r="C230" s="11"/>
      <c r="D230" s="11"/>
      <c r="E230" s="11"/>
      <c r="F230" s="11"/>
      <c r="G230" s="11"/>
      <c r="H230" s="11"/>
      <c r="I230" s="11"/>
    </row>
    <row r="231" spans="1:9" x14ac:dyDescent="0.25">
      <c r="A231" s="11"/>
      <c r="B231" s="11"/>
      <c r="C231" s="11"/>
      <c r="D231" s="11"/>
      <c r="E231" s="11"/>
      <c r="F231" s="11"/>
      <c r="G231" s="11"/>
      <c r="H231" s="11"/>
      <c r="I231" s="11"/>
    </row>
    <row r="232" spans="1:9" x14ac:dyDescent="0.25">
      <c r="A232" s="11"/>
      <c r="B232" s="11"/>
      <c r="C232" s="11"/>
      <c r="D232" s="11"/>
      <c r="E232" s="11"/>
      <c r="F232" s="11"/>
      <c r="G232" s="11"/>
      <c r="H232" s="11"/>
      <c r="I232" s="11"/>
    </row>
    <row r="233" spans="1:9" x14ac:dyDescent="0.25">
      <c r="A233" s="11"/>
      <c r="B233" s="11"/>
      <c r="C233" s="11"/>
      <c r="D233" s="11"/>
      <c r="E233" s="11"/>
      <c r="F233" s="11"/>
      <c r="G233" s="11"/>
      <c r="H233" s="11"/>
      <c r="I233" s="11"/>
    </row>
    <row r="234" spans="1:9" x14ac:dyDescent="0.25">
      <c r="A234" s="11"/>
      <c r="B234" s="11"/>
      <c r="C234" s="11"/>
      <c r="D234" s="11"/>
      <c r="E234" s="11"/>
      <c r="F234" s="11"/>
      <c r="G234" s="11"/>
      <c r="H234" s="11"/>
      <c r="I234" s="11"/>
    </row>
    <row r="235" spans="1:9" x14ac:dyDescent="0.25">
      <c r="A235" s="11"/>
      <c r="B235" s="11"/>
      <c r="C235" s="11"/>
      <c r="D235" s="11"/>
      <c r="E235" s="11"/>
      <c r="F235" s="11"/>
      <c r="G235" s="11"/>
      <c r="H235" s="11"/>
      <c r="I235" s="11"/>
    </row>
    <row r="236" spans="1:9" x14ac:dyDescent="0.25">
      <c r="A236" s="11"/>
      <c r="B236" s="11"/>
      <c r="C236" s="11"/>
      <c r="D236" s="11"/>
      <c r="E236" s="11"/>
      <c r="F236" s="11"/>
      <c r="G236" s="11"/>
      <c r="H236" s="11"/>
      <c r="I236" s="11"/>
    </row>
    <row r="237" spans="1:9" x14ac:dyDescent="0.25">
      <c r="A237" s="11"/>
      <c r="B237" s="11"/>
      <c r="C237" s="11"/>
      <c r="D237" s="11"/>
      <c r="E237" s="11"/>
      <c r="F237" s="11"/>
      <c r="G237" s="11"/>
      <c r="H237" s="11"/>
      <c r="I237" s="11"/>
    </row>
    <row r="238" spans="1:9" x14ac:dyDescent="0.25">
      <c r="A238" s="11"/>
      <c r="B238" s="11"/>
      <c r="C238" s="11"/>
      <c r="D238" s="11"/>
      <c r="E238" s="11"/>
      <c r="F238" s="11"/>
      <c r="G238" s="11"/>
      <c r="H238" s="11"/>
      <c r="I238" s="11"/>
    </row>
    <row r="239" spans="1:9" x14ac:dyDescent="0.25">
      <c r="A239" s="11"/>
      <c r="B239" s="11"/>
      <c r="C239" s="11"/>
      <c r="D239" s="11"/>
      <c r="E239" s="11"/>
      <c r="F239" s="11"/>
      <c r="G239" s="11"/>
      <c r="H239" s="11"/>
      <c r="I239" s="11"/>
    </row>
    <row r="240" spans="1:9" x14ac:dyDescent="0.25">
      <c r="A240" s="11"/>
      <c r="B240" s="11"/>
      <c r="C240" s="11"/>
      <c r="D240" s="11"/>
      <c r="E240" s="11"/>
      <c r="F240" s="11"/>
      <c r="G240" s="11"/>
      <c r="H240" s="11"/>
      <c r="I240" s="11"/>
    </row>
    <row r="241" spans="1:9" x14ac:dyDescent="0.25">
      <c r="A241" s="11"/>
      <c r="B241" s="11"/>
      <c r="C241" s="11"/>
      <c r="D241" s="11"/>
      <c r="E241" s="11"/>
      <c r="F241" s="11"/>
      <c r="G241" s="11"/>
      <c r="H241" s="11"/>
      <c r="I241" s="11"/>
    </row>
    <row r="242" spans="1:9" x14ac:dyDescent="0.25">
      <c r="A242" s="11"/>
      <c r="B242" s="11"/>
      <c r="C242" s="11"/>
      <c r="D242" s="11"/>
      <c r="E242" s="11"/>
      <c r="F242" s="11"/>
      <c r="G242" s="11"/>
      <c r="H242" s="11"/>
      <c r="I242" s="11"/>
    </row>
    <row r="243" spans="1:9" x14ac:dyDescent="0.25">
      <c r="A243" s="11"/>
      <c r="B243" s="11"/>
      <c r="C243" s="11"/>
      <c r="D243" s="11"/>
      <c r="E243" s="11"/>
      <c r="F243" s="11"/>
      <c r="G243" s="11"/>
      <c r="H243" s="11"/>
      <c r="I243" s="11"/>
    </row>
    <row r="244" spans="1:9" x14ac:dyDescent="0.25">
      <c r="A244" s="11"/>
      <c r="B244" s="11"/>
      <c r="C244" s="11"/>
      <c r="D244" s="11"/>
      <c r="E244" s="11"/>
      <c r="F244" s="11"/>
      <c r="G244" s="11"/>
      <c r="H244" s="11"/>
      <c r="I244" s="11"/>
    </row>
    <row r="245" spans="1:9" x14ac:dyDescent="0.25">
      <c r="A245" s="11"/>
      <c r="B245" s="11"/>
      <c r="C245" s="11"/>
      <c r="D245" s="11"/>
      <c r="E245" s="11"/>
      <c r="F245" s="11"/>
      <c r="G245" s="11"/>
      <c r="H245" s="11"/>
      <c r="I245" s="11"/>
    </row>
    <row r="246" spans="1:9" x14ac:dyDescent="0.25">
      <c r="A246" s="11"/>
      <c r="B246" s="11"/>
      <c r="C246" s="11"/>
      <c r="D246" s="11"/>
      <c r="E246" s="11"/>
      <c r="F246" s="11"/>
      <c r="G246" s="11"/>
      <c r="H246" s="11"/>
      <c r="I246" s="11"/>
    </row>
    <row r="247" spans="1:9" x14ac:dyDescent="0.25">
      <c r="A247" s="11"/>
      <c r="B247" s="11"/>
      <c r="C247" s="11"/>
      <c r="D247" s="11"/>
      <c r="E247" s="11"/>
      <c r="F247" s="11"/>
      <c r="G247" s="11"/>
      <c r="H247" s="11"/>
      <c r="I247" s="11"/>
    </row>
    <row r="248" spans="1:9" x14ac:dyDescent="0.25">
      <c r="A248" s="11"/>
      <c r="B248" s="11"/>
      <c r="C248" s="11"/>
      <c r="D248" s="11"/>
      <c r="E248" s="11"/>
      <c r="F248" s="11"/>
      <c r="G248" s="11"/>
      <c r="H248" s="11"/>
      <c r="I248" s="11"/>
    </row>
    <row r="249" spans="1:9" x14ac:dyDescent="0.25">
      <c r="A249" s="11"/>
      <c r="B249" s="11"/>
      <c r="C249" s="11"/>
      <c r="D249" s="11"/>
      <c r="E249" s="11"/>
      <c r="F249" s="11"/>
      <c r="G249" s="11"/>
      <c r="H249" s="11"/>
      <c r="I249" s="11"/>
    </row>
    <row r="250" spans="1:9" x14ac:dyDescent="0.25">
      <c r="A250" s="11"/>
      <c r="B250" s="11"/>
      <c r="C250" s="11"/>
      <c r="D250" s="11"/>
      <c r="E250" s="11"/>
      <c r="F250" s="11"/>
      <c r="G250" s="11"/>
      <c r="H250" s="11"/>
      <c r="I250" s="11"/>
    </row>
    <row r="251" spans="1:9" x14ac:dyDescent="0.25">
      <c r="A251"/>
      <c r="B251"/>
    </row>
    <row r="252" spans="1:9" x14ac:dyDescent="0.25">
      <c r="A252"/>
      <c r="B252"/>
    </row>
    <row r="253" spans="1:9" x14ac:dyDescent="0.25">
      <c r="A253"/>
      <c r="B253"/>
    </row>
    <row r="254" spans="1:9" x14ac:dyDescent="0.25">
      <c r="A254"/>
      <c r="B254"/>
    </row>
    <row r="255" spans="1:9" x14ac:dyDescent="0.25">
      <c r="A255"/>
      <c r="B255"/>
    </row>
    <row r="256" spans="1:9" x14ac:dyDescent="0.25">
      <c r="A256"/>
      <c r="B256"/>
    </row>
    <row r="257" spans="1:2" x14ac:dyDescent="0.25">
      <c r="A257"/>
      <c r="B257"/>
    </row>
    <row r="258" spans="1:2" x14ac:dyDescent="0.25">
      <c r="A258"/>
      <c r="B258"/>
    </row>
    <row r="259" spans="1:2" x14ac:dyDescent="0.25">
      <c r="A259"/>
      <c r="B259"/>
    </row>
    <row r="260" spans="1:2" x14ac:dyDescent="0.25">
      <c r="A260"/>
      <c r="B260"/>
    </row>
    <row r="261" spans="1:2" x14ac:dyDescent="0.25">
      <c r="A261"/>
      <c r="B261"/>
    </row>
    <row r="262" spans="1:2" x14ac:dyDescent="0.25">
      <c r="A262"/>
      <c r="B262"/>
    </row>
    <row r="263" spans="1:2" x14ac:dyDescent="0.25">
      <c r="A263"/>
      <c r="B263"/>
    </row>
    <row r="264" spans="1:2" x14ac:dyDescent="0.25">
      <c r="A264"/>
      <c r="B264"/>
    </row>
    <row r="265" spans="1:2" x14ac:dyDescent="0.25">
      <c r="A265"/>
      <c r="B265"/>
    </row>
    <row r="266" spans="1:2" x14ac:dyDescent="0.25">
      <c r="A266"/>
      <c r="B266"/>
    </row>
    <row r="267" spans="1:2" x14ac:dyDescent="0.25">
      <c r="A267"/>
      <c r="B267"/>
    </row>
    <row r="268" spans="1:2" x14ac:dyDescent="0.25">
      <c r="A268"/>
      <c r="B268"/>
    </row>
    <row r="269" spans="1:2" x14ac:dyDescent="0.25">
      <c r="A269"/>
      <c r="B269"/>
    </row>
    <row r="270" spans="1:2" x14ac:dyDescent="0.25">
      <c r="A270"/>
      <c r="B270"/>
    </row>
    <row r="271" spans="1:2" x14ac:dyDescent="0.25">
      <c r="A271"/>
      <c r="B271"/>
    </row>
    <row r="272" spans="1:2" x14ac:dyDescent="0.25">
      <c r="A272"/>
      <c r="B272"/>
    </row>
    <row r="273" spans="1:2" x14ac:dyDescent="0.25">
      <c r="A273"/>
      <c r="B273"/>
    </row>
    <row r="274" spans="1:2" x14ac:dyDescent="0.25">
      <c r="A274"/>
      <c r="B274"/>
    </row>
    <row r="275" spans="1:2" x14ac:dyDescent="0.25">
      <c r="A275"/>
      <c r="B275"/>
    </row>
    <row r="276" spans="1:2" x14ac:dyDescent="0.25">
      <c r="A276"/>
      <c r="B276"/>
    </row>
    <row r="277" spans="1:2" x14ac:dyDescent="0.25">
      <c r="A277"/>
      <c r="B277"/>
    </row>
    <row r="278" spans="1:2" x14ac:dyDescent="0.25">
      <c r="A278"/>
      <c r="B278"/>
    </row>
    <row r="279" spans="1:2" x14ac:dyDescent="0.25">
      <c r="A279"/>
      <c r="B279"/>
    </row>
    <row r="280" spans="1:2" x14ac:dyDescent="0.25">
      <c r="A280"/>
      <c r="B280"/>
    </row>
    <row r="281" spans="1:2" x14ac:dyDescent="0.25">
      <c r="A281"/>
      <c r="B281"/>
    </row>
    <row r="282" spans="1:2" x14ac:dyDescent="0.25">
      <c r="A282"/>
      <c r="B282"/>
    </row>
    <row r="283" spans="1:2" x14ac:dyDescent="0.25">
      <c r="A283"/>
      <c r="B283"/>
    </row>
    <row r="284" spans="1:2" x14ac:dyDescent="0.25">
      <c r="A284"/>
      <c r="B284"/>
    </row>
    <row r="285" spans="1:2" x14ac:dyDescent="0.25">
      <c r="A285"/>
      <c r="B285"/>
    </row>
    <row r="286" spans="1:2" x14ac:dyDescent="0.25">
      <c r="A286"/>
      <c r="B286"/>
    </row>
    <row r="287" spans="1:2" x14ac:dyDescent="0.25">
      <c r="A287"/>
      <c r="B287"/>
    </row>
    <row r="288" spans="1:2" x14ac:dyDescent="0.25">
      <c r="A288"/>
      <c r="B288"/>
    </row>
  </sheetData>
  <sortState xmlns:xlrd2="http://schemas.microsoft.com/office/spreadsheetml/2017/richdata2" ref="A5:C174">
    <sortCondition ref="A4:A174"/>
  </sortState>
  <mergeCells count="15">
    <mergeCell ref="AZ2:AZ3"/>
    <mergeCell ref="K15:K18"/>
    <mergeCell ref="K4:K14"/>
    <mergeCell ref="A2:A3"/>
    <mergeCell ref="L2:L3"/>
    <mergeCell ref="AB2:AC2"/>
    <mergeCell ref="V1:Y1"/>
    <mergeCell ref="Q1:R1"/>
    <mergeCell ref="AQ1:AR1"/>
    <mergeCell ref="AT1:AU1"/>
    <mergeCell ref="AW1:AX1"/>
    <mergeCell ref="AE1:AF1"/>
    <mergeCell ref="AH1:AI1"/>
    <mergeCell ref="AK1:AL1"/>
    <mergeCell ref="AN1:AO1"/>
  </mergeCells>
  <hyperlinks>
    <hyperlink ref="B166" r:id="rId1" display="http://egitimdeyapilanma.istanbul.edu.tr/izlence.php?id=26533" xr:uid="{00000000-0004-0000-0000-000000000000}"/>
  </hyperlinks>
  <pageMargins left="0.7" right="0.7" top="0.75" bottom="0.75" header="0.3" footer="0.3"/>
  <pageSetup paperSize="9" scale="11" orientation="landscape"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K18"/>
  <sheetViews>
    <sheetView zoomScale="40" zoomScaleNormal="40" workbookViewId="0">
      <selection activeCell="N2" sqref="N2"/>
    </sheetView>
  </sheetViews>
  <sheetFormatPr defaultRowHeight="15" x14ac:dyDescent="0.25"/>
  <cols>
    <col min="2" max="2" width="84.85546875" customWidth="1"/>
    <col min="3" max="11" width="79.28515625" customWidth="1"/>
  </cols>
  <sheetData>
    <row r="1" spans="1:11" x14ac:dyDescent="0.25">
      <c r="A1" s="5"/>
      <c r="B1" s="5">
        <v>1</v>
      </c>
      <c r="C1" s="5">
        <v>2</v>
      </c>
      <c r="D1" s="5">
        <v>3</v>
      </c>
      <c r="E1" s="5">
        <v>4</v>
      </c>
      <c r="F1" s="5">
        <v>5</v>
      </c>
      <c r="G1" s="5">
        <v>6</v>
      </c>
      <c r="H1" s="5">
        <v>7</v>
      </c>
      <c r="I1" s="5">
        <v>8</v>
      </c>
      <c r="J1" s="5">
        <v>9</v>
      </c>
      <c r="K1" s="5">
        <v>10</v>
      </c>
    </row>
    <row r="2" spans="1:11" ht="300" x14ac:dyDescent="0.25">
      <c r="A2" s="5">
        <v>1</v>
      </c>
      <c r="B2" s="121" t="s">
        <v>521</v>
      </c>
      <c r="C2" s="121" t="s">
        <v>522</v>
      </c>
      <c r="D2" s="121" t="s">
        <v>523</v>
      </c>
      <c r="E2" s="121" t="s">
        <v>524</v>
      </c>
      <c r="F2" s="121" t="s">
        <v>525</v>
      </c>
      <c r="G2" s="121" t="s">
        <v>526</v>
      </c>
      <c r="H2" s="121" t="s">
        <v>527</v>
      </c>
      <c r="I2" s="121" t="s">
        <v>528</v>
      </c>
      <c r="J2" s="122"/>
      <c r="K2" s="122"/>
    </row>
    <row r="3" spans="1:11" ht="165" x14ac:dyDescent="0.25">
      <c r="A3" s="5">
        <v>2</v>
      </c>
      <c r="B3" s="121" t="s">
        <v>529</v>
      </c>
      <c r="C3" s="121" t="s">
        <v>530</v>
      </c>
      <c r="D3" s="121" t="s">
        <v>531</v>
      </c>
      <c r="E3" s="121" t="s">
        <v>532</v>
      </c>
      <c r="F3" s="121" t="s">
        <v>533</v>
      </c>
      <c r="G3" s="121" t="s">
        <v>534</v>
      </c>
      <c r="H3" s="121" t="s">
        <v>535</v>
      </c>
      <c r="I3" s="121" t="s">
        <v>536</v>
      </c>
      <c r="J3" s="122"/>
      <c r="K3" s="122"/>
    </row>
    <row r="4" spans="1:11" ht="210" x14ac:dyDescent="0.25">
      <c r="A4" s="5">
        <v>3</v>
      </c>
      <c r="B4" s="121" t="s">
        <v>537</v>
      </c>
      <c r="C4" s="121" t="s">
        <v>538</v>
      </c>
      <c r="D4" s="121" t="s">
        <v>539</v>
      </c>
      <c r="E4" s="121" t="s">
        <v>540</v>
      </c>
      <c r="F4" s="121" t="s">
        <v>541</v>
      </c>
      <c r="G4" s="121" t="s">
        <v>542</v>
      </c>
      <c r="H4" s="121" t="s">
        <v>543</v>
      </c>
      <c r="I4" s="121" t="s">
        <v>544</v>
      </c>
      <c r="J4" s="122"/>
      <c r="K4" s="122"/>
    </row>
    <row r="5" spans="1:11" ht="225" x14ac:dyDescent="0.25">
      <c r="A5" s="5">
        <v>4</v>
      </c>
      <c r="B5" s="121" t="s">
        <v>545</v>
      </c>
      <c r="C5" s="121" t="s">
        <v>546</v>
      </c>
      <c r="D5" s="121" t="s">
        <v>547</v>
      </c>
      <c r="E5" s="121" t="s">
        <v>548</v>
      </c>
      <c r="F5" s="121" t="s">
        <v>549</v>
      </c>
      <c r="G5" s="121" t="s">
        <v>550</v>
      </c>
      <c r="H5" s="121" t="s">
        <v>551</v>
      </c>
      <c r="I5" s="121" t="s">
        <v>552</v>
      </c>
      <c r="J5" s="122"/>
      <c r="K5" s="122"/>
    </row>
    <row r="6" spans="1:11" ht="255" x14ac:dyDescent="0.25">
      <c r="A6" s="5">
        <v>5</v>
      </c>
      <c r="B6" s="121" t="s">
        <v>553</v>
      </c>
      <c r="C6" s="121" t="s">
        <v>554</v>
      </c>
      <c r="D6" s="121" t="s">
        <v>555</v>
      </c>
      <c r="E6" s="121" t="s">
        <v>556</v>
      </c>
      <c r="F6" s="121" t="s">
        <v>557</v>
      </c>
      <c r="G6" s="121" t="s">
        <v>558</v>
      </c>
      <c r="H6" s="121"/>
      <c r="I6" s="121" t="s">
        <v>559</v>
      </c>
      <c r="J6" s="122"/>
      <c r="K6" s="122"/>
    </row>
    <row r="7" spans="1:11" ht="409.5" x14ac:dyDescent="0.25">
      <c r="A7" s="5">
        <v>6</v>
      </c>
      <c r="B7" s="121" t="s">
        <v>560</v>
      </c>
      <c r="C7" s="121" t="s">
        <v>561</v>
      </c>
      <c r="D7" s="121" t="s">
        <v>562</v>
      </c>
      <c r="E7" s="121" t="s">
        <v>563</v>
      </c>
      <c r="F7" s="121" t="s">
        <v>564</v>
      </c>
      <c r="G7" s="121" t="s">
        <v>565</v>
      </c>
      <c r="H7" s="121" t="s">
        <v>566</v>
      </c>
      <c r="I7" s="121" t="s">
        <v>567</v>
      </c>
      <c r="J7" s="122"/>
      <c r="K7" s="122"/>
    </row>
    <row r="8" spans="1:11" ht="409.5" x14ac:dyDescent="0.25">
      <c r="A8" s="5">
        <v>7</v>
      </c>
      <c r="B8" s="121" t="s">
        <v>568</v>
      </c>
      <c r="C8" s="121" t="s">
        <v>569</v>
      </c>
      <c r="D8" s="121" t="s">
        <v>570</v>
      </c>
      <c r="E8" s="121" t="s">
        <v>571</v>
      </c>
      <c r="F8" s="121" t="s">
        <v>572</v>
      </c>
      <c r="G8" s="121" t="s">
        <v>573</v>
      </c>
      <c r="H8" s="121" t="s">
        <v>574</v>
      </c>
      <c r="I8" s="121" t="s">
        <v>575</v>
      </c>
      <c r="J8" s="122"/>
      <c r="K8" s="122"/>
    </row>
    <row r="9" spans="1:11" x14ac:dyDescent="0.25">
      <c r="A9" s="5">
        <v>8</v>
      </c>
      <c r="B9" s="121"/>
      <c r="C9" s="121"/>
      <c r="D9" s="121"/>
      <c r="E9" s="121"/>
      <c r="F9" s="121"/>
      <c r="G9" s="121"/>
      <c r="H9" s="121"/>
      <c r="I9" s="122"/>
      <c r="J9" s="122"/>
      <c r="K9" s="122"/>
    </row>
    <row r="10" spans="1:11" x14ac:dyDescent="0.25">
      <c r="A10" s="5">
        <v>9</v>
      </c>
      <c r="B10" s="122"/>
      <c r="C10" s="122"/>
      <c r="D10" s="122"/>
      <c r="E10" s="122"/>
      <c r="F10" s="122"/>
      <c r="G10" s="122"/>
      <c r="H10" s="122"/>
      <c r="I10" s="122"/>
      <c r="J10" s="122"/>
      <c r="K10" s="122"/>
    </row>
    <row r="11" spans="1:11" x14ac:dyDescent="0.25">
      <c r="A11" s="5">
        <v>10</v>
      </c>
      <c r="B11" s="122"/>
      <c r="C11" s="122"/>
      <c r="D11" s="122"/>
      <c r="E11" s="122"/>
      <c r="F11" s="122"/>
      <c r="G11" s="122"/>
      <c r="H11" s="122"/>
      <c r="I11" s="122"/>
      <c r="J11" s="122"/>
      <c r="K11" s="122"/>
    </row>
    <row r="12" spans="1:11" x14ac:dyDescent="0.25">
      <c r="A12" s="5">
        <v>11</v>
      </c>
      <c r="B12" s="122"/>
      <c r="C12" s="122"/>
      <c r="D12" s="122"/>
      <c r="E12" s="122"/>
      <c r="F12" s="122"/>
      <c r="G12" s="122"/>
      <c r="H12" s="122"/>
      <c r="I12" s="122"/>
      <c r="J12" s="122"/>
      <c r="K12" s="122"/>
    </row>
    <row r="13" spans="1:11" x14ac:dyDescent="0.25">
      <c r="A13" s="5">
        <v>12</v>
      </c>
      <c r="B13" s="122"/>
      <c r="C13" s="122"/>
      <c r="D13" s="122"/>
      <c r="E13" s="122"/>
      <c r="F13" s="122"/>
      <c r="G13" s="122"/>
      <c r="H13" s="122"/>
      <c r="I13" s="122"/>
      <c r="J13" s="122"/>
      <c r="K13" s="122"/>
    </row>
    <row r="14" spans="1:11" x14ac:dyDescent="0.25">
      <c r="A14" s="5">
        <v>13</v>
      </c>
      <c r="B14" s="122"/>
      <c r="C14" s="122"/>
      <c r="D14" s="122"/>
      <c r="E14" s="122"/>
      <c r="F14" s="122"/>
      <c r="G14" s="122"/>
      <c r="H14" s="122"/>
      <c r="I14" s="122"/>
      <c r="J14" s="122"/>
      <c r="K14" s="122"/>
    </row>
    <row r="15" spans="1:11" x14ac:dyDescent="0.25">
      <c r="A15" s="5">
        <v>14</v>
      </c>
      <c r="B15" s="122"/>
      <c r="C15" s="122"/>
      <c r="D15" s="122"/>
      <c r="E15" s="122"/>
      <c r="F15" s="122"/>
      <c r="G15" s="122"/>
      <c r="H15" s="122"/>
      <c r="I15" s="122"/>
      <c r="J15" s="122"/>
      <c r="K15" s="122"/>
    </row>
    <row r="16" spans="1:11" x14ac:dyDescent="0.25">
      <c r="A16" s="5">
        <v>15</v>
      </c>
      <c r="B16" s="122"/>
      <c r="C16" s="122"/>
      <c r="D16" s="122"/>
      <c r="E16" s="122"/>
      <c r="F16" s="122"/>
      <c r="G16" s="122"/>
      <c r="H16" s="122"/>
      <c r="I16" s="122"/>
      <c r="J16" s="122"/>
      <c r="K16" s="122"/>
    </row>
    <row r="17" spans="1:11" x14ac:dyDescent="0.25">
      <c r="A17" s="5">
        <v>16</v>
      </c>
      <c r="B17" s="122"/>
      <c r="C17" s="122"/>
      <c r="D17" s="122"/>
      <c r="E17" s="122"/>
      <c r="F17" s="122"/>
      <c r="G17" s="122"/>
      <c r="H17" s="122"/>
      <c r="I17" s="122"/>
      <c r="J17" s="122"/>
      <c r="K17" s="122"/>
    </row>
    <row r="18" spans="1:11" x14ac:dyDescent="0.25">
      <c r="A18" s="5">
        <v>17</v>
      </c>
      <c r="B18" s="122"/>
      <c r="C18" s="122"/>
      <c r="D18" s="122"/>
      <c r="E18" s="122"/>
      <c r="F18" s="122"/>
      <c r="G18" s="122"/>
      <c r="H18" s="122"/>
      <c r="I18" s="122"/>
      <c r="J18" s="122"/>
      <c r="K18" s="122"/>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ayfa2">
    <pageSetUpPr fitToPage="1"/>
  </sheetPr>
  <dimension ref="A1:W219"/>
  <sheetViews>
    <sheetView zoomScale="70" zoomScaleNormal="70" workbookViewId="0">
      <pane xSplit="1" topLeftCell="B1" activePane="topRight" state="frozen"/>
      <selection pane="topRight" activeCell="C16" sqref="C16"/>
    </sheetView>
  </sheetViews>
  <sheetFormatPr defaultColWidth="73.7109375" defaultRowHeight="15" x14ac:dyDescent="0.25"/>
  <cols>
    <col min="1" max="1" width="13.85546875" bestFit="1" customWidth="1"/>
    <col min="2" max="2" width="48.5703125" style="25" bestFit="1" customWidth="1"/>
    <col min="3" max="3" width="38.140625" style="25" bestFit="1" customWidth="1"/>
    <col min="4" max="4" width="37.28515625" style="25" bestFit="1" customWidth="1"/>
    <col min="5" max="5" width="37.5703125" style="25" bestFit="1" customWidth="1"/>
    <col min="6" max="6" width="44.28515625" style="25" bestFit="1" customWidth="1"/>
    <col min="7" max="7" width="44.7109375" style="25" bestFit="1" customWidth="1"/>
    <col min="8" max="8" width="38.28515625" style="25" bestFit="1" customWidth="1"/>
    <col min="9" max="9" width="44.7109375" style="25" bestFit="1" customWidth="1"/>
    <col min="10" max="10" width="51.42578125" style="25" bestFit="1" customWidth="1"/>
    <col min="11" max="11" width="42.85546875" style="25" bestFit="1" customWidth="1"/>
    <col min="12" max="12" width="29" customWidth="1"/>
    <col min="13" max="13" width="13.85546875" bestFit="1" customWidth="1"/>
    <col min="14" max="14" width="39.85546875" style="25" bestFit="1" customWidth="1"/>
    <col min="15" max="15" width="45.7109375" style="25" bestFit="1" customWidth="1"/>
    <col min="16" max="16" width="41" style="25" bestFit="1" customWidth="1"/>
    <col min="17" max="17" width="43.140625" style="25" bestFit="1" customWidth="1"/>
    <col min="18" max="18" width="48.28515625" style="25" bestFit="1" customWidth="1"/>
    <col min="19" max="19" width="42.140625" style="25" bestFit="1" customWidth="1"/>
    <col min="20" max="20" width="49.5703125" style="25" bestFit="1" customWidth="1"/>
    <col min="21" max="21" width="46.28515625" style="25" bestFit="1" customWidth="1"/>
    <col min="22" max="22" width="42.5703125" style="25" bestFit="1" customWidth="1"/>
    <col min="23" max="23" width="42.85546875" style="25" bestFit="1" customWidth="1"/>
    <col min="24" max="24" width="27" customWidth="1"/>
  </cols>
  <sheetData>
    <row r="1" spans="1:23" x14ac:dyDescent="0.25">
      <c r="A1" s="19" t="s">
        <v>0</v>
      </c>
      <c r="B1" s="28"/>
      <c r="C1" s="28"/>
      <c r="D1" s="28"/>
      <c r="E1" s="28"/>
      <c r="F1" s="28"/>
      <c r="G1" s="28"/>
      <c r="H1" s="28"/>
      <c r="I1" s="28"/>
      <c r="J1" s="28"/>
      <c r="K1" s="28"/>
    </row>
    <row r="2" spans="1:23" x14ac:dyDescent="0.25">
      <c r="A2" s="19"/>
      <c r="B2" s="28"/>
      <c r="C2" s="28"/>
      <c r="D2" s="28"/>
      <c r="E2" s="28"/>
      <c r="F2" s="28"/>
      <c r="G2" s="28"/>
      <c r="H2" s="28"/>
      <c r="I2" s="28"/>
      <c r="J2" s="28"/>
      <c r="K2" s="28"/>
    </row>
    <row r="3" spans="1:23" x14ac:dyDescent="0.25">
      <c r="A3" s="23" t="s">
        <v>17</v>
      </c>
      <c r="B3" s="22" t="s">
        <v>1</v>
      </c>
      <c r="C3" s="22"/>
      <c r="D3" s="22"/>
      <c r="E3" s="22"/>
      <c r="F3" s="22"/>
      <c r="G3" s="22"/>
      <c r="H3" s="22"/>
      <c r="I3" s="22"/>
      <c r="J3" s="22"/>
      <c r="K3" s="22"/>
      <c r="L3" s="3"/>
      <c r="M3" s="23" t="s">
        <v>18</v>
      </c>
      <c r="N3" s="22" t="s">
        <v>1</v>
      </c>
      <c r="O3" s="22"/>
      <c r="P3" s="22"/>
      <c r="Q3" s="22"/>
      <c r="R3" s="22"/>
      <c r="S3" s="22"/>
      <c r="T3" s="22"/>
      <c r="U3" s="22"/>
      <c r="V3" s="22"/>
      <c r="W3" s="22"/>
    </row>
    <row r="4" spans="1:23" ht="30" x14ac:dyDescent="0.25">
      <c r="A4" s="22" t="s">
        <v>2</v>
      </c>
      <c r="B4" s="26">
        <v>1</v>
      </c>
      <c r="C4" s="26">
        <v>2</v>
      </c>
      <c r="D4" s="26">
        <v>3</v>
      </c>
      <c r="E4" s="26">
        <v>4</v>
      </c>
      <c r="F4" s="26">
        <v>5</v>
      </c>
      <c r="G4" s="26">
        <v>6</v>
      </c>
      <c r="H4" s="26">
        <v>7</v>
      </c>
      <c r="I4" s="26">
        <v>8</v>
      </c>
      <c r="J4" s="26">
        <v>9</v>
      </c>
      <c r="K4" s="26">
        <v>10</v>
      </c>
      <c r="L4" s="3"/>
      <c r="M4" s="16" t="s">
        <v>2</v>
      </c>
      <c r="N4" s="26">
        <v>1</v>
      </c>
      <c r="O4" s="26">
        <v>2</v>
      </c>
      <c r="P4" s="26">
        <v>3</v>
      </c>
      <c r="Q4" s="26">
        <v>4</v>
      </c>
      <c r="R4" s="26">
        <v>5</v>
      </c>
      <c r="S4" s="26">
        <v>6</v>
      </c>
      <c r="T4" s="26">
        <v>7</v>
      </c>
      <c r="U4" s="26">
        <v>8</v>
      </c>
      <c r="V4" s="26">
        <v>9</v>
      </c>
      <c r="W4" s="26">
        <v>10</v>
      </c>
    </row>
    <row r="5" spans="1:23" ht="49.5" customHeight="1" x14ac:dyDescent="0.25">
      <c r="A5" s="24">
        <v>1</v>
      </c>
      <c r="B5" s="25" t="s">
        <v>467</v>
      </c>
      <c r="C5" s="25" t="s">
        <v>442</v>
      </c>
      <c r="D5" s="25" t="s">
        <v>468</v>
      </c>
      <c r="E5" s="25" t="s">
        <v>469</v>
      </c>
      <c r="F5"/>
      <c r="G5"/>
      <c r="H5" s="25" t="s">
        <v>470</v>
      </c>
      <c r="I5" s="25" t="s">
        <v>382</v>
      </c>
      <c r="J5"/>
      <c r="K5"/>
      <c r="L5" s="3">
        <f>(180-COUNTBLANK(B5:K22))+(180-COUNTBLANK(B27:K44))+(180-COUNTBLANK(B49:K66))+(180-COUNTBLANK(B71:K88))+(180-COUNTBLANK(B94:K111))+(180-COUNTBLANK(B116:K133))+(180-COUNTBLANK(B138:K155))+(180-COUNTBLANK(B160:K177))</f>
        <v>105</v>
      </c>
      <c r="M5" s="24">
        <v>1</v>
      </c>
      <c r="N5" s="25" t="s">
        <v>388</v>
      </c>
      <c r="O5" s="25" t="s">
        <v>428</v>
      </c>
      <c r="P5" s="25" t="s">
        <v>421</v>
      </c>
      <c r="Q5" s="25" t="s">
        <v>487</v>
      </c>
      <c r="R5"/>
      <c r="S5" s="25" t="s">
        <v>400</v>
      </c>
      <c r="T5" s="25" t="s">
        <v>422</v>
      </c>
      <c r="U5" s="25" t="s">
        <v>488</v>
      </c>
      <c r="V5"/>
      <c r="W5"/>
    </row>
    <row r="6" spans="1:23" ht="60" x14ac:dyDescent="0.25">
      <c r="A6" s="24">
        <v>2</v>
      </c>
      <c r="B6"/>
      <c r="C6" s="25" t="s">
        <v>471</v>
      </c>
      <c r="D6"/>
      <c r="E6"/>
      <c r="F6" s="25" t="s">
        <v>472</v>
      </c>
      <c r="G6"/>
      <c r="H6" s="25" t="s">
        <v>473</v>
      </c>
      <c r="I6" s="25" t="s">
        <v>420</v>
      </c>
      <c r="J6"/>
      <c r="K6"/>
      <c r="L6" s="3">
        <f>(180-COUNTBLANK(N5:W22))+(180-COUNTBLANK(N27:W44))+(180-COUNTBLANK(N49:W66))+(180-COUNTBLANK(N71:W88))+(180-COUNTBLANK(N94:W111))+(180-COUNTBLANK(N116:W133))+(180-COUNTBLANK(N138:W155))</f>
        <v>82</v>
      </c>
      <c r="M6" s="24">
        <v>2</v>
      </c>
      <c r="N6" s="25" t="s">
        <v>489</v>
      </c>
      <c r="O6"/>
      <c r="P6"/>
      <c r="Q6" s="25" t="s">
        <v>426</v>
      </c>
      <c r="R6"/>
      <c r="S6" s="25" t="s">
        <v>427</v>
      </c>
      <c r="T6"/>
      <c r="U6" s="25" t="s">
        <v>490</v>
      </c>
      <c r="V6"/>
      <c r="W6"/>
    </row>
    <row r="7" spans="1:23" ht="60" x14ac:dyDescent="0.25">
      <c r="A7" s="24">
        <v>3</v>
      </c>
      <c r="B7"/>
      <c r="C7" s="25" t="s">
        <v>474</v>
      </c>
      <c r="D7" s="25" t="s">
        <v>412</v>
      </c>
      <c r="E7" s="25" t="s">
        <v>475</v>
      </c>
      <c r="F7" s="25" t="s">
        <v>476</v>
      </c>
      <c r="G7" s="25" t="s">
        <v>477</v>
      </c>
      <c r="H7"/>
      <c r="I7"/>
      <c r="J7"/>
      <c r="K7"/>
      <c r="L7" s="3">
        <f>L5+L6</f>
        <v>187</v>
      </c>
      <c r="M7" s="24">
        <v>3</v>
      </c>
      <c r="N7"/>
      <c r="O7" s="25" t="s">
        <v>491</v>
      </c>
      <c r="P7" s="25" t="s">
        <v>492</v>
      </c>
      <c r="Q7" s="25" t="s">
        <v>381</v>
      </c>
      <c r="R7" s="25" t="s">
        <v>493</v>
      </c>
      <c r="S7" s="25" t="s">
        <v>384</v>
      </c>
      <c r="T7"/>
      <c r="U7" s="25" t="s">
        <v>424</v>
      </c>
      <c r="V7"/>
      <c r="W7"/>
    </row>
    <row r="8" spans="1:23" ht="45" x14ac:dyDescent="0.25">
      <c r="A8" s="24">
        <v>4</v>
      </c>
      <c r="B8" s="25" t="s">
        <v>395</v>
      </c>
      <c r="C8" s="25" t="s">
        <v>478</v>
      </c>
      <c r="D8" s="25" t="s">
        <v>398</v>
      </c>
      <c r="E8" s="25" t="s">
        <v>374</v>
      </c>
      <c r="F8"/>
      <c r="G8"/>
      <c r="H8" s="25" t="s">
        <v>479</v>
      </c>
      <c r="I8" s="25" t="s">
        <v>480</v>
      </c>
      <c r="J8"/>
      <c r="K8"/>
      <c r="L8" s="3"/>
      <c r="M8" s="24">
        <v>4</v>
      </c>
      <c r="N8"/>
      <c r="O8" s="25" t="s">
        <v>409</v>
      </c>
      <c r="P8" s="25" t="s">
        <v>494</v>
      </c>
      <c r="Q8" s="25" t="s">
        <v>374</v>
      </c>
      <c r="R8"/>
      <c r="S8"/>
      <c r="T8"/>
      <c r="U8" s="25" t="s">
        <v>369</v>
      </c>
      <c r="V8"/>
      <c r="W8"/>
    </row>
    <row r="9" spans="1:23" ht="75" x14ac:dyDescent="0.25">
      <c r="A9" s="24">
        <v>5</v>
      </c>
      <c r="B9" s="25" t="s">
        <v>349</v>
      </c>
      <c r="C9"/>
      <c r="D9" s="25" t="s">
        <v>373</v>
      </c>
      <c r="E9" s="25" t="s">
        <v>481</v>
      </c>
      <c r="F9"/>
      <c r="G9" s="25" t="s">
        <v>482</v>
      </c>
      <c r="H9"/>
      <c r="I9" s="25" t="s">
        <v>429</v>
      </c>
      <c r="J9"/>
      <c r="K9"/>
      <c r="L9" s="3"/>
      <c r="M9" s="24">
        <v>5</v>
      </c>
      <c r="N9" s="25" t="s">
        <v>411</v>
      </c>
      <c r="O9"/>
      <c r="P9" s="25" t="s">
        <v>495</v>
      </c>
      <c r="Q9" s="25" t="s">
        <v>496</v>
      </c>
      <c r="R9" s="25" t="s">
        <v>497</v>
      </c>
      <c r="S9"/>
      <c r="T9"/>
      <c r="U9"/>
      <c r="V9"/>
      <c r="W9"/>
    </row>
    <row r="10" spans="1:23" ht="60" x14ac:dyDescent="0.25">
      <c r="A10" s="24">
        <v>6</v>
      </c>
      <c r="B10"/>
      <c r="C10"/>
      <c r="D10" s="25" t="s">
        <v>351</v>
      </c>
      <c r="E10" s="25" t="s">
        <v>389</v>
      </c>
      <c r="F10" s="25" t="s">
        <v>483</v>
      </c>
      <c r="G10" s="25" t="s">
        <v>416</v>
      </c>
      <c r="H10" s="25" t="s">
        <v>423</v>
      </c>
      <c r="I10" s="25" t="s">
        <v>383</v>
      </c>
      <c r="J10"/>
      <c r="K10"/>
      <c r="L10" s="3"/>
      <c r="M10" s="24">
        <v>6</v>
      </c>
      <c r="N10"/>
      <c r="O10"/>
      <c r="P10" s="25" t="s">
        <v>433</v>
      </c>
      <c r="Q10" s="25" t="s">
        <v>414</v>
      </c>
      <c r="R10" s="25" t="s">
        <v>342</v>
      </c>
      <c r="S10" s="25" t="s">
        <v>454</v>
      </c>
      <c r="T10" s="25" t="s">
        <v>432</v>
      </c>
      <c r="U10" s="25" t="s">
        <v>498</v>
      </c>
      <c r="V10"/>
      <c r="W10"/>
    </row>
    <row r="11" spans="1:23" ht="60" x14ac:dyDescent="0.25">
      <c r="A11" s="24">
        <v>7</v>
      </c>
      <c r="B11"/>
      <c r="C11" s="25" t="s">
        <v>407</v>
      </c>
      <c r="D11" s="25" t="s">
        <v>484</v>
      </c>
      <c r="E11" s="25" t="s">
        <v>485</v>
      </c>
      <c r="F11" s="25" t="s">
        <v>439</v>
      </c>
      <c r="G11" s="25" t="s">
        <v>372</v>
      </c>
      <c r="H11" s="25" t="s">
        <v>486</v>
      </c>
      <c r="I11" s="25" t="s">
        <v>358</v>
      </c>
      <c r="J11"/>
      <c r="K11"/>
      <c r="L11" s="3"/>
      <c r="M11" s="24">
        <v>7</v>
      </c>
      <c r="N11"/>
      <c r="O11" s="25" t="s">
        <v>407</v>
      </c>
      <c r="P11"/>
      <c r="Q11" s="25" t="s">
        <v>499</v>
      </c>
      <c r="R11" s="25" t="s">
        <v>440</v>
      </c>
      <c r="S11" s="25" t="s">
        <v>457</v>
      </c>
      <c r="T11" s="25" t="s">
        <v>500</v>
      </c>
      <c r="U11" s="25" t="s">
        <v>501</v>
      </c>
      <c r="V11"/>
      <c r="W11"/>
    </row>
    <row r="12" spans="1:23" x14ac:dyDescent="0.25">
      <c r="A12" s="24">
        <v>8</v>
      </c>
      <c r="B12"/>
      <c r="C12"/>
      <c r="D12"/>
      <c r="E12"/>
      <c r="F12"/>
      <c r="G12"/>
      <c r="H12"/>
      <c r="I12"/>
      <c r="J12"/>
      <c r="K12"/>
      <c r="L12" s="3"/>
      <c r="M12" s="24">
        <v>8</v>
      </c>
      <c r="N12"/>
      <c r="O12"/>
      <c r="P12"/>
      <c r="Q12"/>
      <c r="R12"/>
      <c r="S12"/>
      <c r="T12"/>
      <c r="U12"/>
      <c r="V12"/>
      <c r="W12"/>
    </row>
    <row r="13" spans="1:23" x14ac:dyDescent="0.25">
      <c r="A13" s="24">
        <v>9</v>
      </c>
      <c r="B13"/>
      <c r="C13"/>
      <c r="D13"/>
      <c r="E13"/>
      <c r="F13"/>
      <c r="G13"/>
      <c r="H13"/>
      <c r="I13"/>
      <c r="J13"/>
      <c r="K13"/>
      <c r="L13" s="3"/>
      <c r="M13" s="24">
        <v>9</v>
      </c>
      <c r="N13"/>
      <c r="O13"/>
      <c r="P13"/>
      <c r="Q13"/>
      <c r="R13"/>
      <c r="S13"/>
      <c r="T13"/>
      <c r="U13"/>
      <c r="V13"/>
      <c r="W13"/>
    </row>
    <row r="14" spans="1:23" x14ac:dyDescent="0.25">
      <c r="A14" s="24">
        <v>10</v>
      </c>
      <c r="B14"/>
      <c r="C14"/>
      <c r="D14"/>
      <c r="E14"/>
      <c r="F14"/>
      <c r="G14"/>
      <c r="H14"/>
      <c r="I14"/>
      <c r="J14"/>
      <c r="K14"/>
      <c r="L14" s="3"/>
      <c r="M14" s="24">
        <v>10</v>
      </c>
      <c r="N14"/>
      <c r="O14"/>
      <c r="P14"/>
      <c r="Q14"/>
      <c r="R14"/>
      <c r="S14"/>
      <c r="T14"/>
      <c r="U14"/>
      <c r="V14"/>
      <c r="W14"/>
    </row>
    <row r="15" spans="1:23" x14ac:dyDescent="0.25">
      <c r="A15" s="24">
        <v>11</v>
      </c>
      <c r="B15"/>
      <c r="C15"/>
      <c r="D15"/>
      <c r="E15"/>
      <c r="F15"/>
      <c r="G15"/>
      <c r="H15"/>
      <c r="I15"/>
      <c r="J15"/>
      <c r="K15"/>
      <c r="L15" s="3"/>
      <c r="M15" s="24">
        <v>11</v>
      </c>
      <c r="N15"/>
      <c r="O15"/>
      <c r="P15"/>
      <c r="Q15"/>
      <c r="R15"/>
      <c r="S15"/>
      <c r="T15"/>
      <c r="U15"/>
      <c r="V15"/>
      <c r="W15"/>
    </row>
    <row r="16" spans="1:23" x14ac:dyDescent="0.25">
      <c r="A16" s="24">
        <v>12</v>
      </c>
      <c r="B16"/>
      <c r="C16"/>
      <c r="D16"/>
      <c r="E16"/>
      <c r="F16"/>
      <c r="G16"/>
      <c r="H16"/>
      <c r="I16"/>
      <c r="J16"/>
      <c r="K16"/>
      <c r="L16" s="3"/>
      <c r="M16" s="24">
        <v>12</v>
      </c>
      <c r="N16"/>
      <c r="O16"/>
      <c r="P16"/>
      <c r="Q16"/>
      <c r="R16"/>
      <c r="S16"/>
      <c r="T16"/>
      <c r="U16"/>
      <c r="V16"/>
      <c r="W16"/>
    </row>
    <row r="17" spans="1:23" x14ac:dyDescent="0.25">
      <c r="A17" s="24">
        <v>13</v>
      </c>
      <c r="B17"/>
      <c r="C17"/>
      <c r="D17"/>
      <c r="E17"/>
      <c r="F17"/>
      <c r="G17"/>
      <c r="H17"/>
      <c r="I17"/>
      <c r="J17"/>
      <c r="K17"/>
      <c r="L17" s="3"/>
      <c r="M17" s="24">
        <v>13</v>
      </c>
      <c r="N17"/>
      <c r="O17"/>
      <c r="P17"/>
      <c r="Q17"/>
      <c r="R17"/>
      <c r="S17"/>
      <c r="T17"/>
      <c r="U17"/>
      <c r="V17"/>
      <c r="W17"/>
    </row>
    <row r="18" spans="1:23" x14ac:dyDescent="0.25">
      <c r="A18" s="24">
        <v>14</v>
      </c>
      <c r="B18"/>
      <c r="C18"/>
      <c r="D18"/>
      <c r="E18"/>
      <c r="F18"/>
      <c r="G18"/>
      <c r="H18"/>
      <c r="I18"/>
      <c r="J18"/>
      <c r="K18"/>
      <c r="L18" s="3"/>
      <c r="M18" s="24">
        <v>14</v>
      </c>
      <c r="N18"/>
      <c r="O18"/>
      <c r="P18"/>
      <c r="Q18"/>
      <c r="R18"/>
      <c r="S18"/>
      <c r="T18"/>
      <c r="U18"/>
      <c r="V18"/>
      <c r="W18"/>
    </row>
    <row r="19" spans="1:23" x14ac:dyDescent="0.25">
      <c r="A19" s="24">
        <v>15</v>
      </c>
      <c r="B19"/>
      <c r="C19"/>
      <c r="D19"/>
      <c r="E19"/>
      <c r="F19"/>
      <c r="G19"/>
      <c r="H19"/>
      <c r="I19"/>
      <c r="J19"/>
      <c r="K19"/>
      <c r="L19" s="3"/>
      <c r="M19" s="24">
        <v>15</v>
      </c>
      <c r="N19"/>
      <c r="O19"/>
      <c r="P19"/>
      <c r="Q19"/>
      <c r="R19"/>
      <c r="S19"/>
      <c r="T19"/>
      <c r="U19"/>
      <c r="V19"/>
      <c r="W19"/>
    </row>
    <row r="20" spans="1:23" x14ac:dyDescent="0.25">
      <c r="A20" s="24">
        <v>16</v>
      </c>
      <c r="B20"/>
      <c r="C20"/>
      <c r="D20"/>
      <c r="E20"/>
      <c r="F20"/>
      <c r="G20"/>
      <c r="H20"/>
      <c r="I20"/>
      <c r="J20"/>
      <c r="K20"/>
      <c r="L20" s="3"/>
      <c r="M20" s="24">
        <v>16</v>
      </c>
      <c r="N20"/>
      <c r="O20"/>
      <c r="P20"/>
      <c r="Q20"/>
      <c r="R20"/>
      <c r="S20"/>
      <c r="T20"/>
      <c r="U20"/>
      <c r="V20"/>
      <c r="W20"/>
    </row>
    <row r="21" spans="1:23" x14ac:dyDescent="0.25">
      <c r="A21" s="24">
        <v>17</v>
      </c>
      <c r="B21"/>
      <c r="C21"/>
      <c r="D21"/>
      <c r="E21"/>
      <c r="F21"/>
      <c r="G21"/>
      <c r="H21"/>
      <c r="I21"/>
      <c r="J21"/>
      <c r="K21"/>
      <c r="L21" s="3"/>
      <c r="M21" s="24">
        <v>17</v>
      </c>
      <c r="N21"/>
      <c r="O21"/>
      <c r="P21"/>
      <c r="Q21"/>
      <c r="R21"/>
      <c r="S21"/>
      <c r="T21"/>
      <c r="U21"/>
      <c r="V21"/>
      <c r="W21"/>
    </row>
    <row r="22" spans="1:23" x14ac:dyDescent="0.25">
      <c r="A22" s="24">
        <v>18</v>
      </c>
      <c r="B22"/>
      <c r="C22"/>
      <c r="D22"/>
      <c r="E22"/>
      <c r="F22"/>
      <c r="G22"/>
      <c r="H22"/>
      <c r="I22"/>
      <c r="J22"/>
      <c r="K22"/>
      <c r="L22" s="3"/>
      <c r="M22" s="24">
        <v>18</v>
      </c>
      <c r="N22"/>
      <c r="O22"/>
      <c r="P22"/>
      <c r="Q22"/>
      <c r="R22"/>
      <c r="S22"/>
      <c r="T22"/>
      <c r="U22"/>
      <c r="V22"/>
      <c r="W22"/>
    </row>
    <row r="25" spans="1:23" x14ac:dyDescent="0.25">
      <c r="A25" s="17" t="s">
        <v>19</v>
      </c>
      <c r="B25" s="18" t="s">
        <v>1</v>
      </c>
      <c r="C25" s="18"/>
      <c r="D25" s="18"/>
      <c r="E25" s="18"/>
      <c r="F25" s="18"/>
      <c r="G25" s="18"/>
      <c r="H25" s="18"/>
      <c r="I25" s="18"/>
      <c r="J25" s="18"/>
      <c r="K25" s="18"/>
      <c r="M25" s="17" t="s">
        <v>20</v>
      </c>
      <c r="N25" s="18" t="s">
        <v>1</v>
      </c>
      <c r="O25" s="18"/>
      <c r="P25" s="18"/>
      <c r="Q25" s="18"/>
      <c r="R25" s="18"/>
      <c r="S25" s="18"/>
      <c r="T25" s="18"/>
      <c r="U25" s="18"/>
      <c r="V25" s="18"/>
      <c r="W25" s="18"/>
    </row>
    <row r="26" spans="1:23" ht="30" x14ac:dyDescent="0.25">
      <c r="A26" s="22" t="s">
        <v>2</v>
      </c>
      <c r="B26" s="27">
        <v>1</v>
      </c>
      <c r="C26" s="27">
        <v>2</v>
      </c>
      <c r="D26" s="27">
        <v>3</v>
      </c>
      <c r="E26" s="27">
        <v>4</v>
      </c>
      <c r="F26" s="27">
        <v>5</v>
      </c>
      <c r="G26" s="27">
        <v>6</v>
      </c>
      <c r="H26" s="27">
        <v>7</v>
      </c>
      <c r="I26" s="27">
        <v>8</v>
      </c>
      <c r="J26" s="27">
        <v>9</v>
      </c>
      <c r="K26" s="27">
        <v>10</v>
      </c>
      <c r="M26" s="16" t="s">
        <v>2</v>
      </c>
      <c r="N26" s="27">
        <v>1</v>
      </c>
      <c r="O26" s="27">
        <v>2</v>
      </c>
      <c r="P26" s="27">
        <v>3</v>
      </c>
      <c r="Q26" s="27">
        <v>4</v>
      </c>
      <c r="R26" s="27">
        <v>5</v>
      </c>
      <c r="S26" s="27">
        <v>6</v>
      </c>
      <c r="T26" s="27">
        <v>7</v>
      </c>
      <c r="U26" s="27">
        <v>8</v>
      </c>
      <c r="V26" s="27">
        <v>9</v>
      </c>
      <c r="W26" s="27">
        <v>10</v>
      </c>
    </row>
    <row r="27" spans="1:23" ht="30" x14ac:dyDescent="0.25">
      <c r="A27" s="8">
        <v>1</v>
      </c>
      <c r="B27" s="25" t="s">
        <v>363</v>
      </c>
      <c r="C27"/>
      <c r="D27"/>
      <c r="E27"/>
      <c r="F27"/>
      <c r="G27"/>
      <c r="H27"/>
      <c r="I27"/>
      <c r="J27"/>
      <c r="K27"/>
      <c r="M27" s="8">
        <v>1</v>
      </c>
      <c r="N27" s="25" t="s">
        <v>360</v>
      </c>
      <c r="O27"/>
      <c r="P27" s="25" t="s">
        <v>397</v>
      </c>
      <c r="Q27"/>
      <c r="R27"/>
      <c r="S27"/>
      <c r="T27"/>
      <c r="U27"/>
      <c r="V27"/>
      <c r="W27"/>
    </row>
    <row r="28" spans="1:23" ht="30" x14ac:dyDescent="0.25">
      <c r="A28" s="8">
        <v>2</v>
      </c>
      <c r="B28"/>
      <c r="C28"/>
      <c r="D28"/>
      <c r="E28"/>
      <c r="F28"/>
      <c r="G28"/>
      <c r="H28"/>
      <c r="I28"/>
      <c r="J28"/>
      <c r="K28"/>
      <c r="M28" s="8">
        <v>2</v>
      </c>
      <c r="N28"/>
      <c r="O28" s="25" t="s">
        <v>396</v>
      </c>
      <c r="P28"/>
      <c r="Q28" s="25" t="s">
        <v>367</v>
      </c>
      <c r="R28" s="25" t="s">
        <v>505</v>
      </c>
      <c r="S28" s="25" t="s">
        <v>368</v>
      </c>
      <c r="T28"/>
      <c r="U28"/>
      <c r="V28"/>
      <c r="W28"/>
    </row>
    <row r="29" spans="1:23" ht="45" x14ac:dyDescent="0.25">
      <c r="A29" s="8">
        <v>3</v>
      </c>
      <c r="B29"/>
      <c r="C29" s="25" t="s">
        <v>371</v>
      </c>
      <c r="D29"/>
      <c r="E29"/>
      <c r="F29"/>
      <c r="G29"/>
      <c r="H29"/>
      <c r="I29" s="25" t="s">
        <v>406</v>
      </c>
      <c r="J29"/>
      <c r="K29"/>
      <c r="M29" s="8">
        <v>3</v>
      </c>
      <c r="N29"/>
      <c r="O29"/>
      <c r="P29"/>
      <c r="Q29"/>
      <c r="R29"/>
      <c r="S29" s="25" t="s">
        <v>385</v>
      </c>
      <c r="T29" s="25" t="s">
        <v>506</v>
      </c>
      <c r="U29"/>
      <c r="V29"/>
      <c r="W29"/>
    </row>
    <row r="30" spans="1:23" ht="30" x14ac:dyDescent="0.25">
      <c r="A30" s="8">
        <v>4</v>
      </c>
      <c r="B30"/>
      <c r="C30" s="25" t="s">
        <v>357</v>
      </c>
      <c r="D30"/>
      <c r="E30"/>
      <c r="F30"/>
      <c r="G30"/>
      <c r="H30"/>
      <c r="I30" s="25" t="s">
        <v>365</v>
      </c>
      <c r="J30"/>
      <c r="K30"/>
      <c r="M30" s="8">
        <v>4</v>
      </c>
      <c r="N30"/>
      <c r="O30"/>
      <c r="P30"/>
      <c r="Q30"/>
      <c r="R30"/>
      <c r="S30"/>
      <c r="T30"/>
      <c r="U30" s="25" t="s">
        <v>376</v>
      </c>
      <c r="V30"/>
      <c r="W30"/>
    </row>
    <row r="31" spans="1:23" ht="45" x14ac:dyDescent="0.25">
      <c r="A31" s="8">
        <v>5</v>
      </c>
      <c r="B31" s="25" t="s">
        <v>441</v>
      </c>
      <c r="C31"/>
      <c r="D31"/>
      <c r="E31"/>
      <c r="F31"/>
      <c r="G31"/>
      <c r="H31"/>
      <c r="I31"/>
      <c r="J31"/>
      <c r="K31"/>
      <c r="M31" s="8">
        <v>5</v>
      </c>
      <c r="N31"/>
      <c r="O31"/>
      <c r="P31"/>
      <c r="Q31"/>
      <c r="R31"/>
      <c r="S31"/>
      <c r="T31"/>
      <c r="U31"/>
      <c r="V31"/>
      <c r="W31"/>
    </row>
    <row r="32" spans="1:23" ht="45" x14ac:dyDescent="0.25">
      <c r="A32" s="8">
        <v>6</v>
      </c>
      <c r="B32"/>
      <c r="C32"/>
      <c r="D32" s="25" t="s">
        <v>392</v>
      </c>
      <c r="E32" s="25" t="s">
        <v>502</v>
      </c>
      <c r="F32" s="25" t="s">
        <v>415</v>
      </c>
      <c r="G32" s="25" t="s">
        <v>503</v>
      </c>
      <c r="H32"/>
      <c r="I32" s="25" t="s">
        <v>356</v>
      </c>
      <c r="J32"/>
      <c r="K32"/>
      <c r="M32" s="8">
        <v>6</v>
      </c>
      <c r="N32"/>
      <c r="O32"/>
      <c r="P32" s="25" t="s">
        <v>507</v>
      </c>
      <c r="Q32" s="25" t="s">
        <v>508</v>
      </c>
      <c r="R32" s="25" t="s">
        <v>509</v>
      </c>
      <c r="S32" s="25" t="s">
        <v>405</v>
      </c>
      <c r="T32"/>
      <c r="U32" s="25" t="s">
        <v>383</v>
      </c>
      <c r="V32"/>
      <c r="W32"/>
    </row>
    <row r="33" spans="1:23" ht="60" x14ac:dyDescent="0.25">
      <c r="A33" s="8">
        <v>7</v>
      </c>
      <c r="B33"/>
      <c r="C33" s="25" t="s">
        <v>504</v>
      </c>
      <c r="D33" s="25" t="s">
        <v>408</v>
      </c>
      <c r="E33" s="25" t="s">
        <v>417</v>
      </c>
      <c r="F33" s="25" t="s">
        <v>391</v>
      </c>
      <c r="G33" s="25" t="s">
        <v>380</v>
      </c>
      <c r="H33"/>
      <c r="I33" s="25" t="s">
        <v>361</v>
      </c>
      <c r="J33"/>
      <c r="K33"/>
      <c r="M33" s="8">
        <v>7</v>
      </c>
      <c r="N33"/>
      <c r="O33" s="25" t="s">
        <v>370</v>
      </c>
      <c r="P33" s="25" t="s">
        <v>418</v>
      </c>
      <c r="Q33" s="25" t="s">
        <v>510</v>
      </c>
      <c r="R33" s="25" t="s">
        <v>379</v>
      </c>
      <c r="S33" s="25" t="s">
        <v>403</v>
      </c>
      <c r="T33" s="25" t="s">
        <v>511</v>
      </c>
      <c r="U33"/>
      <c r="V33"/>
      <c r="W33"/>
    </row>
    <row r="34" spans="1:23" x14ac:dyDescent="0.25">
      <c r="A34" s="8">
        <v>8</v>
      </c>
      <c r="B34"/>
      <c r="C34"/>
      <c r="D34"/>
      <c r="E34"/>
      <c r="F34"/>
      <c r="G34"/>
      <c r="H34"/>
      <c r="I34"/>
      <c r="J34"/>
      <c r="K34"/>
      <c r="M34" s="8">
        <v>8</v>
      </c>
      <c r="N34"/>
      <c r="O34"/>
      <c r="P34"/>
      <c r="Q34"/>
      <c r="R34"/>
      <c r="S34"/>
      <c r="T34"/>
      <c r="U34"/>
      <c r="V34"/>
      <c r="W34"/>
    </row>
    <row r="35" spans="1:23" x14ac:dyDescent="0.25">
      <c r="A35" s="8">
        <v>9</v>
      </c>
      <c r="B35"/>
      <c r="C35"/>
      <c r="D35"/>
      <c r="E35"/>
      <c r="F35"/>
      <c r="G35"/>
      <c r="H35"/>
      <c r="I35"/>
      <c r="J35"/>
      <c r="K35"/>
      <c r="M35" s="8">
        <v>9</v>
      </c>
      <c r="N35"/>
      <c r="O35"/>
      <c r="P35"/>
      <c r="Q35"/>
      <c r="R35"/>
      <c r="S35"/>
      <c r="T35"/>
      <c r="U35"/>
      <c r="V35"/>
      <c r="W35"/>
    </row>
    <row r="36" spans="1:23" x14ac:dyDescent="0.25">
      <c r="A36" s="8">
        <v>10</v>
      </c>
      <c r="B36"/>
      <c r="C36"/>
      <c r="D36"/>
      <c r="E36"/>
      <c r="F36"/>
      <c r="G36"/>
      <c r="H36"/>
      <c r="I36"/>
      <c r="J36"/>
      <c r="K36"/>
      <c r="M36" s="8">
        <v>10</v>
      </c>
      <c r="N36"/>
      <c r="O36"/>
      <c r="P36"/>
      <c r="Q36"/>
      <c r="R36"/>
      <c r="S36"/>
      <c r="T36"/>
      <c r="U36"/>
      <c r="V36"/>
      <c r="W36"/>
    </row>
    <row r="37" spans="1:23" x14ac:dyDescent="0.25">
      <c r="A37" s="8">
        <v>11</v>
      </c>
      <c r="B37"/>
      <c r="C37"/>
      <c r="D37"/>
      <c r="E37"/>
      <c r="F37"/>
      <c r="G37"/>
      <c r="H37"/>
      <c r="I37"/>
      <c r="J37"/>
      <c r="K37"/>
      <c r="M37" s="8">
        <v>11</v>
      </c>
      <c r="N37"/>
      <c r="O37"/>
      <c r="P37"/>
      <c r="Q37"/>
      <c r="R37"/>
      <c r="S37"/>
      <c r="T37"/>
      <c r="U37"/>
      <c r="V37"/>
      <c r="W37"/>
    </row>
    <row r="38" spans="1:23" x14ac:dyDescent="0.25">
      <c r="A38" s="8">
        <v>12</v>
      </c>
      <c r="B38"/>
      <c r="C38"/>
      <c r="D38"/>
      <c r="E38"/>
      <c r="F38"/>
      <c r="G38"/>
      <c r="H38"/>
      <c r="I38"/>
      <c r="J38"/>
      <c r="K38"/>
      <c r="M38" s="8">
        <v>12</v>
      </c>
      <c r="N38"/>
      <c r="O38"/>
      <c r="P38"/>
      <c r="Q38"/>
      <c r="R38"/>
      <c r="S38"/>
      <c r="T38"/>
      <c r="U38"/>
      <c r="V38"/>
      <c r="W38"/>
    </row>
    <row r="39" spans="1:23" x14ac:dyDescent="0.25">
      <c r="A39" s="8">
        <v>13</v>
      </c>
      <c r="B39"/>
      <c r="C39"/>
      <c r="D39"/>
      <c r="E39"/>
      <c r="F39"/>
      <c r="G39"/>
      <c r="H39"/>
      <c r="I39"/>
      <c r="J39"/>
      <c r="K39"/>
      <c r="M39" s="8">
        <v>13</v>
      </c>
      <c r="N39"/>
      <c r="O39"/>
      <c r="P39"/>
      <c r="Q39"/>
      <c r="R39"/>
      <c r="S39"/>
      <c r="T39"/>
      <c r="U39"/>
      <c r="V39"/>
      <c r="W39"/>
    </row>
    <row r="40" spans="1:23" x14ac:dyDescent="0.25">
      <c r="A40" s="8">
        <v>14</v>
      </c>
      <c r="B40"/>
      <c r="C40"/>
      <c r="D40"/>
      <c r="E40"/>
      <c r="F40"/>
      <c r="G40"/>
      <c r="H40"/>
      <c r="I40"/>
      <c r="J40"/>
      <c r="K40"/>
      <c r="M40" s="8">
        <v>14</v>
      </c>
      <c r="N40"/>
      <c r="O40"/>
      <c r="P40"/>
      <c r="Q40"/>
      <c r="R40"/>
      <c r="S40"/>
      <c r="T40"/>
      <c r="U40"/>
      <c r="V40"/>
      <c r="W40"/>
    </row>
    <row r="41" spans="1:23" x14ac:dyDescent="0.25">
      <c r="A41" s="8">
        <v>15</v>
      </c>
      <c r="B41"/>
      <c r="C41"/>
      <c r="D41"/>
      <c r="E41"/>
      <c r="F41"/>
      <c r="G41"/>
      <c r="H41"/>
      <c r="I41"/>
      <c r="J41"/>
      <c r="K41"/>
      <c r="M41" s="8">
        <v>15</v>
      </c>
      <c r="N41"/>
      <c r="O41"/>
      <c r="P41"/>
      <c r="Q41"/>
      <c r="R41"/>
      <c r="S41"/>
      <c r="T41"/>
      <c r="U41"/>
      <c r="V41"/>
      <c r="W41"/>
    </row>
    <row r="42" spans="1:23" x14ac:dyDescent="0.25">
      <c r="A42" s="8">
        <v>16</v>
      </c>
      <c r="B42"/>
      <c r="C42"/>
      <c r="D42"/>
      <c r="E42"/>
      <c r="F42"/>
      <c r="G42"/>
      <c r="H42"/>
      <c r="I42"/>
      <c r="J42"/>
      <c r="K42"/>
      <c r="M42" s="8">
        <v>16</v>
      </c>
      <c r="N42"/>
      <c r="O42"/>
      <c r="P42"/>
      <c r="Q42"/>
      <c r="R42"/>
      <c r="S42"/>
      <c r="T42"/>
      <c r="U42"/>
      <c r="V42"/>
      <c r="W42"/>
    </row>
    <row r="43" spans="1:23" x14ac:dyDescent="0.25">
      <c r="A43" s="8">
        <v>17</v>
      </c>
      <c r="B43"/>
      <c r="C43"/>
      <c r="D43"/>
      <c r="E43"/>
      <c r="F43"/>
      <c r="G43"/>
      <c r="H43"/>
      <c r="I43"/>
      <c r="J43"/>
      <c r="K43"/>
      <c r="M43" s="8">
        <v>17</v>
      </c>
      <c r="N43"/>
      <c r="O43"/>
      <c r="P43"/>
      <c r="Q43"/>
      <c r="R43"/>
      <c r="S43"/>
      <c r="T43"/>
      <c r="U43"/>
      <c r="V43"/>
      <c r="W43"/>
    </row>
    <row r="44" spans="1:23" x14ac:dyDescent="0.25">
      <c r="A44" s="8">
        <v>18</v>
      </c>
      <c r="B44"/>
      <c r="C44"/>
      <c r="D44"/>
      <c r="E44"/>
      <c r="F44"/>
      <c r="G44"/>
      <c r="H44"/>
      <c r="I44"/>
      <c r="J44"/>
      <c r="K44"/>
      <c r="M44" s="8">
        <v>18</v>
      </c>
      <c r="N44"/>
      <c r="O44"/>
      <c r="P44"/>
      <c r="Q44"/>
      <c r="R44"/>
      <c r="S44"/>
      <c r="T44"/>
      <c r="U44"/>
      <c r="V44"/>
      <c r="W44"/>
    </row>
    <row r="47" spans="1:23" x14ac:dyDescent="0.25">
      <c r="A47" s="17" t="s">
        <v>21</v>
      </c>
      <c r="B47" s="18" t="s">
        <v>1</v>
      </c>
      <c r="C47" s="18"/>
      <c r="D47" s="18"/>
      <c r="E47" s="18"/>
      <c r="F47" s="18"/>
      <c r="G47" s="18"/>
      <c r="H47" s="18"/>
      <c r="I47" s="18"/>
      <c r="J47" s="18"/>
      <c r="K47" s="18"/>
      <c r="M47" s="17">
        <v>102</v>
      </c>
      <c r="N47" s="18" t="s">
        <v>1</v>
      </c>
      <c r="O47" s="18"/>
      <c r="P47" s="18"/>
      <c r="Q47" s="18"/>
      <c r="R47" s="18"/>
      <c r="S47" s="18"/>
      <c r="T47" s="18"/>
      <c r="U47" s="18"/>
      <c r="V47" s="18"/>
      <c r="W47" s="18"/>
    </row>
    <row r="48" spans="1:23" ht="30" x14ac:dyDescent="0.25">
      <c r="A48" s="16" t="s">
        <v>2</v>
      </c>
      <c r="B48" s="27">
        <v>1</v>
      </c>
      <c r="C48" s="27">
        <v>2</v>
      </c>
      <c r="D48" s="27">
        <v>3</v>
      </c>
      <c r="E48" s="27">
        <v>4</v>
      </c>
      <c r="F48" s="27">
        <v>5</v>
      </c>
      <c r="G48" s="27">
        <v>6</v>
      </c>
      <c r="H48" s="27">
        <v>7</v>
      </c>
      <c r="I48" s="27">
        <v>8</v>
      </c>
      <c r="J48" s="27">
        <v>9</v>
      </c>
      <c r="K48" s="27">
        <v>10</v>
      </c>
      <c r="M48" s="16" t="s">
        <v>2</v>
      </c>
      <c r="N48" s="27">
        <v>1</v>
      </c>
      <c r="O48" s="27">
        <v>2</v>
      </c>
      <c r="P48" s="27">
        <v>3</v>
      </c>
      <c r="Q48" s="27">
        <v>4</v>
      </c>
      <c r="R48" s="27">
        <v>5</v>
      </c>
      <c r="S48" s="27">
        <v>6</v>
      </c>
      <c r="T48" s="27">
        <v>7</v>
      </c>
      <c r="U48" s="27">
        <v>8</v>
      </c>
      <c r="V48" s="27">
        <v>9</v>
      </c>
      <c r="W48" s="27">
        <v>10</v>
      </c>
    </row>
    <row r="49" spans="1:23" ht="54" customHeight="1" x14ac:dyDescent="0.25">
      <c r="A49" s="8">
        <v>1</v>
      </c>
      <c r="B49" s="25" t="s">
        <v>387</v>
      </c>
      <c r="C49"/>
      <c r="D49"/>
      <c r="E49"/>
      <c r="F49"/>
      <c r="G49"/>
      <c r="H49"/>
      <c r="I49" s="25" t="s">
        <v>394</v>
      </c>
      <c r="J49"/>
      <c r="K49"/>
      <c r="M49" s="8">
        <v>1</v>
      </c>
      <c r="N49"/>
      <c r="O49"/>
      <c r="P49"/>
      <c r="Q49"/>
      <c r="R49"/>
      <c r="S49"/>
      <c r="T49"/>
      <c r="U49"/>
      <c r="V49"/>
      <c r="W49"/>
    </row>
    <row r="50" spans="1:23" ht="60" x14ac:dyDescent="0.25">
      <c r="A50" s="8">
        <v>2</v>
      </c>
      <c r="B50"/>
      <c r="C50"/>
      <c r="D50"/>
      <c r="E50"/>
      <c r="F50" s="25" t="s">
        <v>386</v>
      </c>
      <c r="G50"/>
      <c r="H50" s="25" t="s">
        <v>512</v>
      </c>
      <c r="I50"/>
      <c r="J50"/>
      <c r="K50"/>
      <c r="M50" s="8">
        <v>2</v>
      </c>
      <c r="N50"/>
      <c r="O50"/>
      <c r="P50"/>
      <c r="Q50"/>
      <c r="R50"/>
      <c r="S50"/>
      <c r="T50"/>
      <c r="U50"/>
      <c r="V50"/>
      <c r="W50"/>
    </row>
    <row r="51" spans="1:23" ht="45" x14ac:dyDescent="0.25">
      <c r="A51" s="8">
        <v>3</v>
      </c>
      <c r="B51"/>
      <c r="C51" s="25" t="s">
        <v>430</v>
      </c>
      <c r="D51"/>
      <c r="E51" s="25" t="s">
        <v>513</v>
      </c>
      <c r="F51"/>
      <c r="G51" s="25" t="s">
        <v>419</v>
      </c>
      <c r="H51"/>
      <c r="I51"/>
      <c r="J51"/>
      <c r="K51"/>
      <c r="M51" s="8">
        <v>3</v>
      </c>
      <c r="N51"/>
      <c r="O51"/>
      <c r="P51"/>
      <c r="Q51"/>
      <c r="R51"/>
      <c r="S51"/>
      <c r="T51"/>
      <c r="U51"/>
      <c r="V51"/>
      <c r="W51"/>
    </row>
    <row r="52" spans="1:23" ht="60" x14ac:dyDescent="0.25">
      <c r="A52" s="8">
        <v>4</v>
      </c>
      <c r="B52"/>
      <c r="C52"/>
      <c r="D52" s="25" t="s">
        <v>514</v>
      </c>
      <c r="E52"/>
      <c r="F52"/>
      <c r="G52"/>
      <c r="H52"/>
      <c r="I52"/>
      <c r="J52"/>
      <c r="K52"/>
      <c r="M52" s="8">
        <v>4</v>
      </c>
      <c r="N52"/>
      <c r="O52"/>
      <c r="P52"/>
      <c r="Q52"/>
      <c r="R52"/>
      <c r="S52" s="25" t="s">
        <v>362</v>
      </c>
      <c r="T52"/>
      <c r="U52"/>
      <c r="V52"/>
      <c r="W52"/>
    </row>
    <row r="53" spans="1:23" ht="45" x14ac:dyDescent="0.25">
      <c r="A53" s="8">
        <v>5</v>
      </c>
      <c r="B53"/>
      <c r="C53"/>
      <c r="D53"/>
      <c r="E53"/>
      <c r="F53"/>
      <c r="G53"/>
      <c r="H53"/>
      <c r="I53" s="25" t="s">
        <v>515</v>
      </c>
      <c r="J53"/>
      <c r="K53"/>
      <c r="M53" s="8">
        <v>5</v>
      </c>
      <c r="N53"/>
      <c r="O53"/>
      <c r="P53"/>
      <c r="Q53"/>
      <c r="R53"/>
      <c r="S53"/>
      <c r="T53"/>
      <c r="U53" s="25" t="s">
        <v>399</v>
      </c>
      <c r="V53"/>
      <c r="W53"/>
    </row>
    <row r="54" spans="1:23" ht="75" x14ac:dyDescent="0.25">
      <c r="A54" s="8">
        <v>6</v>
      </c>
      <c r="B54"/>
      <c r="C54"/>
      <c r="D54" s="25" t="s">
        <v>404</v>
      </c>
      <c r="E54" s="25" t="s">
        <v>401</v>
      </c>
      <c r="F54" s="25" t="s">
        <v>390</v>
      </c>
      <c r="G54" s="25" t="s">
        <v>516</v>
      </c>
      <c r="H54"/>
      <c r="I54" s="25" t="s">
        <v>517</v>
      </c>
      <c r="J54"/>
      <c r="K54"/>
      <c r="M54" s="8">
        <v>6</v>
      </c>
      <c r="N54"/>
      <c r="O54"/>
      <c r="P54" s="25" t="s">
        <v>434</v>
      </c>
      <c r="Q54" s="25" t="s">
        <v>450</v>
      </c>
      <c r="R54" s="25" t="s">
        <v>451</v>
      </c>
      <c r="S54" s="25" t="s">
        <v>431</v>
      </c>
      <c r="T54"/>
      <c r="U54"/>
      <c r="V54"/>
      <c r="W54"/>
    </row>
    <row r="55" spans="1:23" ht="60" x14ac:dyDescent="0.25">
      <c r="A55" s="8">
        <v>7</v>
      </c>
      <c r="B55" s="25" t="s">
        <v>410</v>
      </c>
      <c r="C55" s="25" t="s">
        <v>413</v>
      </c>
      <c r="D55"/>
      <c r="E55" s="25" t="s">
        <v>378</v>
      </c>
      <c r="F55" s="25" t="s">
        <v>364</v>
      </c>
      <c r="G55" s="25" t="s">
        <v>518</v>
      </c>
      <c r="H55" s="25" t="s">
        <v>519</v>
      </c>
      <c r="I55" s="25" t="s">
        <v>520</v>
      </c>
      <c r="J55"/>
      <c r="K55"/>
      <c r="M55" s="8">
        <v>7</v>
      </c>
      <c r="N55"/>
      <c r="O55"/>
      <c r="P55"/>
      <c r="Q55"/>
      <c r="R55"/>
      <c r="S55" s="25" t="s">
        <v>366</v>
      </c>
      <c r="T55"/>
      <c r="U55"/>
      <c r="V55"/>
      <c r="W55"/>
    </row>
    <row r="56" spans="1:23" x14ac:dyDescent="0.25">
      <c r="A56" s="8">
        <v>8</v>
      </c>
      <c r="B56"/>
      <c r="C56"/>
      <c r="D56"/>
      <c r="E56"/>
      <c r="F56"/>
      <c r="G56"/>
      <c r="H56"/>
      <c r="I56"/>
      <c r="J56"/>
      <c r="K56"/>
      <c r="M56" s="8">
        <v>8</v>
      </c>
      <c r="N56"/>
      <c r="O56"/>
      <c r="P56"/>
      <c r="Q56"/>
      <c r="R56"/>
      <c r="S56"/>
      <c r="T56"/>
      <c r="U56"/>
      <c r="V56"/>
      <c r="W56"/>
    </row>
    <row r="57" spans="1:23" x14ac:dyDescent="0.25">
      <c r="A57" s="8">
        <v>9</v>
      </c>
      <c r="B57"/>
      <c r="C57"/>
      <c r="D57"/>
      <c r="E57"/>
      <c r="F57"/>
      <c r="G57"/>
      <c r="H57"/>
      <c r="I57"/>
      <c r="J57"/>
      <c r="K57"/>
      <c r="M57" s="8">
        <v>9</v>
      </c>
      <c r="N57"/>
      <c r="O57"/>
      <c r="P57"/>
      <c r="Q57"/>
      <c r="R57"/>
      <c r="S57"/>
      <c r="T57"/>
      <c r="U57"/>
      <c r="V57"/>
      <c r="W57"/>
    </row>
    <row r="58" spans="1:23" x14ac:dyDescent="0.25">
      <c r="A58" s="8">
        <v>10</v>
      </c>
      <c r="B58"/>
      <c r="C58"/>
      <c r="D58"/>
      <c r="E58"/>
      <c r="F58"/>
      <c r="G58"/>
      <c r="H58"/>
      <c r="I58"/>
      <c r="J58"/>
      <c r="K58"/>
      <c r="M58" s="8">
        <v>10</v>
      </c>
      <c r="N58"/>
      <c r="O58"/>
      <c r="P58"/>
      <c r="Q58"/>
      <c r="R58"/>
      <c r="S58"/>
      <c r="T58"/>
      <c r="U58"/>
      <c r="V58"/>
      <c r="W58"/>
    </row>
    <row r="59" spans="1:23" x14ac:dyDescent="0.25">
      <c r="A59" s="8">
        <v>11</v>
      </c>
      <c r="B59"/>
      <c r="C59"/>
      <c r="D59"/>
      <c r="E59"/>
      <c r="F59"/>
      <c r="G59"/>
      <c r="H59"/>
      <c r="I59"/>
      <c r="J59"/>
      <c r="K59"/>
      <c r="M59" s="8">
        <v>11</v>
      </c>
      <c r="N59"/>
      <c r="O59"/>
      <c r="P59"/>
      <c r="Q59"/>
      <c r="R59"/>
      <c r="S59"/>
      <c r="T59"/>
      <c r="U59"/>
      <c r="V59"/>
      <c r="W59"/>
    </row>
    <row r="60" spans="1:23" x14ac:dyDescent="0.25">
      <c r="A60" s="8">
        <v>12</v>
      </c>
      <c r="B60"/>
      <c r="C60"/>
      <c r="D60"/>
      <c r="E60"/>
      <c r="F60"/>
      <c r="G60"/>
      <c r="H60"/>
      <c r="I60"/>
      <c r="J60"/>
      <c r="K60"/>
      <c r="M60" s="8">
        <v>12</v>
      </c>
      <c r="N60"/>
      <c r="O60"/>
      <c r="P60"/>
      <c r="Q60"/>
      <c r="R60"/>
      <c r="S60"/>
      <c r="T60"/>
      <c r="U60"/>
      <c r="V60"/>
      <c r="W60"/>
    </row>
    <row r="61" spans="1:23" x14ac:dyDescent="0.25">
      <c r="A61" s="8">
        <v>13</v>
      </c>
      <c r="B61"/>
      <c r="C61"/>
      <c r="D61"/>
      <c r="E61"/>
      <c r="F61"/>
      <c r="G61"/>
      <c r="H61"/>
      <c r="I61"/>
      <c r="J61"/>
      <c r="K61"/>
      <c r="M61" s="8">
        <v>13</v>
      </c>
      <c r="N61"/>
      <c r="O61"/>
      <c r="P61"/>
      <c r="Q61"/>
      <c r="R61"/>
      <c r="S61"/>
      <c r="T61"/>
      <c r="U61"/>
      <c r="V61"/>
      <c r="W61"/>
    </row>
    <row r="62" spans="1:23" x14ac:dyDescent="0.25">
      <c r="A62" s="8">
        <v>14</v>
      </c>
      <c r="B62"/>
      <c r="C62"/>
      <c r="D62"/>
      <c r="E62"/>
      <c r="F62"/>
      <c r="G62"/>
      <c r="H62"/>
      <c r="I62"/>
      <c r="J62"/>
      <c r="K62"/>
      <c r="M62" s="8">
        <v>14</v>
      </c>
      <c r="N62"/>
      <c r="O62"/>
      <c r="P62"/>
      <c r="Q62"/>
      <c r="R62"/>
      <c r="S62"/>
      <c r="T62"/>
      <c r="U62"/>
      <c r="V62"/>
      <c r="W62"/>
    </row>
    <row r="63" spans="1:23" x14ac:dyDescent="0.25">
      <c r="A63" s="8">
        <v>15</v>
      </c>
      <c r="B63"/>
      <c r="C63"/>
      <c r="D63"/>
      <c r="E63"/>
      <c r="F63"/>
      <c r="G63"/>
      <c r="H63"/>
      <c r="I63"/>
      <c r="J63"/>
      <c r="K63"/>
      <c r="M63" s="8">
        <v>15</v>
      </c>
      <c r="N63"/>
      <c r="O63"/>
      <c r="P63"/>
      <c r="Q63"/>
      <c r="R63"/>
      <c r="S63"/>
      <c r="T63"/>
      <c r="U63"/>
      <c r="V63"/>
      <c r="W63"/>
    </row>
    <row r="64" spans="1:23" x14ac:dyDescent="0.25">
      <c r="A64" s="8">
        <v>16</v>
      </c>
      <c r="B64"/>
      <c r="C64"/>
      <c r="D64"/>
      <c r="E64"/>
      <c r="F64"/>
      <c r="G64"/>
      <c r="H64"/>
      <c r="I64"/>
      <c r="J64"/>
      <c r="K64"/>
      <c r="M64" s="8">
        <v>16</v>
      </c>
      <c r="N64"/>
      <c r="O64"/>
      <c r="P64"/>
      <c r="Q64"/>
      <c r="R64"/>
      <c r="S64"/>
      <c r="T64"/>
      <c r="U64"/>
      <c r="V64"/>
      <c r="W64"/>
    </row>
    <row r="65" spans="1:23" x14ac:dyDescent="0.25">
      <c r="A65" s="8">
        <v>17</v>
      </c>
      <c r="B65"/>
      <c r="C65"/>
      <c r="D65"/>
      <c r="E65"/>
      <c r="F65"/>
      <c r="G65"/>
      <c r="H65"/>
      <c r="I65"/>
      <c r="J65"/>
      <c r="K65"/>
      <c r="M65" s="8">
        <v>17</v>
      </c>
      <c r="N65"/>
      <c r="O65"/>
      <c r="P65"/>
      <c r="Q65"/>
      <c r="R65"/>
      <c r="S65"/>
      <c r="T65"/>
      <c r="U65"/>
      <c r="V65"/>
      <c r="W65"/>
    </row>
    <row r="66" spans="1:23" x14ac:dyDescent="0.25">
      <c r="A66" s="8">
        <v>18</v>
      </c>
      <c r="B66"/>
      <c r="C66"/>
      <c r="D66"/>
      <c r="E66"/>
      <c r="F66"/>
      <c r="G66"/>
      <c r="H66"/>
      <c r="I66"/>
      <c r="J66"/>
      <c r="K66"/>
      <c r="M66" s="8">
        <v>18</v>
      </c>
      <c r="N66"/>
      <c r="O66"/>
      <c r="P66"/>
      <c r="Q66"/>
      <c r="R66"/>
      <c r="S66"/>
      <c r="T66"/>
      <c r="U66"/>
      <c r="V66"/>
      <c r="W66"/>
    </row>
    <row r="69" spans="1:23" x14ac:dyDescent="0.25">
      <c r="A69" s="17">
        <v>103</v>
      </c>
      <c r="B69" s="18" t="s">
        <v>1</v>
      </c>
      <c r="C69" s="18"/>
      <c r="D69" s="18"/>
      <c r="E69" s="18"/>
      <c r="F69" s="18"/>
      <c r="G69" s="18"/>
      <c r="H69" s="18"/>
      <c r="I69" s="18"/>
      <c r="J69" s="18"/>
      <c r="K69" s="18"/>
      <c r="M69" s="17">
        <v>104</v>
      </c>
      <c r="N69" s="18" t="s">
        <v>1</v>
      </c>
      <c r="O69" s="18"/>
      <c r="P69" s="18"/>
      <c r="Q69" s="18"/>
      <c r="R69" s="18"/>
      <c r="S69" s="18"/>
      <c r="T69" s="18"/>
      <c r="U69" s="18"/>
      <c r="V69" s="18"/>
      <c r="W69" s="18"/>
    </row>
    <row r="70" spans="1:23" ht="30" x14ac:dyDescent="0.25">
      <c r="A70" s="22" t="s">
        <v>2</v>
      </c>
      <c r="B70" s="27">
        <v>1</v>
      </c>
      <c r="C70" s="27">
        <v>2</v>
      </c>
      <c r="D70" s="27">
        <v>3</v>
      </c>
      <c r="E70" s="27">
        <v>4</v>
      </c>
      <c r="F70" s="27">
        <v>5</v>
      </c>
      <c r="G70" s="27">
        <v>6</v>
      </c>
      <c r="H70" s="27">
        <v>7</v>
      </c>
      <c r="I70" s="27">
        <v>8</v>
      </c>
      <c r="J70" s="27">
        <v>9</v>
      </c>
      <c r="K70" s="27">
        <v>10</v>
      </c>
      <c r="M70" s="16" t="s">
        <v>2</v>
      </c>
      <c r="N70" s="27">
        <v>1</v>
      </c>
      <c r="O70" s="27">
        <v>2</v>
      </c>
      <c r="P70" s="27">
        <v>3</v>
      </c>
      <c r="Q70" s="27">
        <v>4</v>
      </c>
      <c r="R70" s="27">
        <v>5</v>
      </c>
      <c r="S70" s="27">
        <v>6</v>
      </c>
      <c r="T70" s="27">
        <v>7</v>
      </c>
      <c r="U70" s="27">
        <v>8</v>
      </c>
      <c r="V70" s="27">
        <v>9</v>
      </c>
      <c r="W70" s="27">
        <v>10</v>
      </c>
    </row>
    <row r="71" spans="1:23" x14ac:dyDescent="0.25">
      <c r="A71" s="8">
        <v>1</v>
      </c>
      <c r="B71"/>
      <c r="C71"/>
      <c r="D71"/>
      <c r="E71"/>
      <c r="F71"/>
      <c r="G71"/>
      <c r="H71"/>
      <c r="I71"/>
      <c r="J71"/>
      <c r="K71"/>
      <c r="M71" s="8">
        <v>1</v>
      </c>
      <c r="N71"/>
      <c r="O71"/>
      <c r="P71"/>
      <c r="Q71"/>
      <c r="R71"/>
      <c r="S71"/>
      <c r="T71"/>
      <c r="U71"/>
      <c r="V71"/>
      <c r="W71"/>
    </row>
    <row r="72" spans="1:23" ht="30" x14ac:dyDescent="0.25">
      <c r="A72" s="8">
        <v>2</v>
      </c>
      <c r="B72"/>
      <c r="C72"/>
      <c r="D72"/>
      <c r="E72"/>
      <c r="F72"/>
      <c r="G72"/>
      <c r="H72"/>
      <c r="I72"/>
      <c r="J72"/>
      <c r="K72"/>
      <c r="M72" s="8">
        <v>2</v>
      </c>
      <c r="N72"/>
      <c r="O72"/>
      <c r="P72"/>
      <c r="Q72" s="25" t="s">
        <v>367</v>
      </c>
      <c r="R72"/>
      <c r="S72" s="25" t="s">
        <v>368</v>
      </c>
      <c r="T72"/>
      <c r="U72"/>
      <c r="V72"/>
      <c r="W72"/>
    </row>
    <row r="73" spans="1:23" ht="30" x14ac:dyDescent="0.25">
      <c r="A73" s="8">
        <v>3</v>
      </c>
      <c r="B73"/>
      <c r="C73"/>
      <c r="D73"/>
      <c r="E73"/>
      <c r="F73"/>
      <c r="G73"/>
      <c r="H73"/>
      <c r="I73" s="25" t="s">
        <v>425</v>
      </c>
      <c r="J73"/>
      <c r="K73"/>
      <c r="M73" s="8">
        <v>3</v>
      </c>
      <c r="N73"/>
      <c r="O73"/>
      <c r="P73"/>
      <c r="Q73"/>
      <c r="R73"/>
      <c r="S73"/>
      <c r="T73"/>
      <c r="U73" s="25" t="s">
        <v>452</v>
      </c>
      <c r="V73"/>
      <c r="W73"/>
    </row>
    <row r="74" spans="1:23" x14ac:dyDescent="0.25">
      <c r="A74" s="8">
        <v>4</v>
      </c>
      <c r="B74"/>
      <c r="C74"/>
      <c r="D74"/>
      <c r="E74"/>
      <c r="F74"/>
      <c r="G74"/>
      <c r="H74"/>
      <c r="I74"/>
      <c r="J74"/>
      <c r="K74"/>
      <c r="M74" s="8">
        <v>4</v>
      </c>
      <c r="N74"/>
      <c r="O74"/>
      <c r="P74"/>
      <c r="Q74"/>
      <c r="R74"/>
      <c r="S74"/>
      <c r="T74"/>
      <c r="U74"/>
      <c r="V74"/>
      <c r="W74"/>
    </row>
    <row r="75" spans="1:23" x14ac:dyDescent="0.25">
      <c r="A75" s="8">
        <v>5</v>
      </c>
      <c r="B75"/>
      <c r="C75"/>
      <c r="D75"/>
      <c r="E75"/>
      <c r="F75"/>
      <c r="G75"/>
      <c r="H75"/>
      <c r="I75"/>
      <c r="J75"/>
      <c r="K75"/>
      <c r="M75" s="8">
        <v>5</v>
      </c>
      <c r="N75"/>
      <c r="O75"/>
      <c r="P75"/>
      <c r="Q75"/>
      <c r="R75"/>
      <c r="S75"/>
      <c r="T75"/>
      <c r="U75"/>
      <c r="V75"/>
      <c r="W75"/>
    </row>
    <row r="76" spans="1:23" ht="30" x14ac:dyDescent="0.25">
      <c r="A76" s="8">
        <v>6</v>
      </c>
      <c r="B76"/>
      <c r="C76"/>
      <c r="D76"/>
      <c r="E76"/>
      <c r="F76"/>
      <c r="G76" s="25" t="s">
        <v>402</v>
      </c>
      <c r="H76"/>
      <c r="I76"/>
      <c r="J76"/>
      <c r="K76"/>
      <c r="M76" s="8">
        <v>6</v>
      </c>
      <c r="N76"/>
      <c r="O76"/>
      <c r="P76"/>
      <c r="Q76"/>
      <c r="R76"/>
      <c r="S76" s="25" t="s">
        <v>375</v>
      </c>
      <c r="T76"/>
      <c r="U76"/>
      <c r="V76"/>
      <c r="W76"/>
    </row>
    <row r="77" spans="1:23" ht="30" x14ac:dyDescent="0.25">
      <c r="A77" s="8">
        <v>7</v>
      </c>
      <c r="B77"/>
      <c r="C77"/>
      <c r="D77"/>
      <c r="E77"/>
      <c r="F77"/>
      <c r="G77"/>
      <c r="H77"/>
      <c r="I77"/>
      <c r="J77"/>
      <c r="K77"/>
      <c r="M77" s="8">
        <v>7</v>
      </c>
      <c r="N77"/>
      <c r="O77"/>
      <c r="P77"/>
      <c r="Q77"/>
      <c r="R77"/>
      <c r="S77" s="25" t="s">
        <v>359</v>
      </c>
      <c r="T77"/>
      <c r="U77"/>
      <c r="V77"/>
      <c r="W77"/>
    </row>
    <row r="78" spans="1:23" x14ac:dyDescent="0.25">
      <c r="A78" s="8">
        <v>8</v>
      </c>
      <c r="B78"/>
      <c r="C78"/>
      <c r="D78"/>
      <c r="E78"/>
      <c r="F78"/>
      <c r="G78"/>
      <c r="H78"/>
      <c r="I78"/>
      <c r="J78"/>
      <c r="K78"/>
      <c r="M78" s="8">
        <v>8</v>
      </c>
      <c r="N78"/>
      <c r="O78"/>
      <c r="P78"/>
      <c r="Q78"/>
      <c r="R78"/>
      <c r="S78"/>
      <c r="T78"/>
      <c r="U78"/>
      <c r="V78"/>
      <c r="W78"/>
    </row>
    <row r="79" spans="1:23" x14ac:dyDescent="0.25">
      <c r="A79" s="8">
        <v>9</v>
      </c>
      <c r="B79"/>
      <c r="C79"/>
      <c r="D79"/>
      <c r="E79"/>
      <c r="F79"/>
      <c r="G79"/>
      <c r="H79"/>
      <c r="I79"/>
      <c r="J79"/>
      <c r="K79"/>
      <c r="M79" s="8">
        <v>9</v>
      </c>
      <c r="N79"/>
      <c r="O79"/>
      <c r="P79"/>
      <c r="Q79"/>
      <c r="R79"/>
      <c r="S79"/>
      <c r="T79"/>
      <c r="U79"/>
      <c r="V79"/>
      <c r="W79"/>
    </row>
    <row r="80" spans="1:23" x14ac:dyDescent="0.25">
      <c r="A80" s="8">
        <v>10</v>
      </c>
      <c r="B80"/>
      <c r="C80"/>
      <c r="D80"/>
      <c r="E80"/>
      <c r="F80"/>
      <c r="G80"/>
      <c r="H80"/>
      <c r="I80"/>
      <c r="J80"/>
      <c r="K80"/>
      <c r="M80" s="8">
        <v>10</v>
      </c>
      <c r="N80"/>
      <c r="O80"/>
      <c r="P80"/>
      <c r="Q80"/>
      <c r="R80"/>
      <c r="S80"/>
      <c r="T80"/>
      <c r="U80"/>
      <c r="V80"/>
      <c r="W80"/>
    </row>
    <row r="81" spans="1:23" x14ac:dyDescent="0.25">
      <c r="A81" s="8">
        <v>11</v>
      </c>
      <c r="B81"/>
      <c r="C81"/>
      <c r="D81"/>
      <c r="E81"/>
      <c r="F81"/>
      <c r="G81"/>
      <c r="H81"/>
      <c r="I81"/>
      <c r="J81"/>
      <c r="K81"/>
      <c r="M81" s="8">
        <v>11</v>
      </c>
      <c r="N81"/>
      <c r="O81"/>
      <c r="P81"/>
      <c r="Q81"/>
      <c r="R81"/>
      <c r="S81"/>
      <c r="T81"/>
      <c r="U81"/>
      <c r="V81"/>
      <c r="W81"/>
    </row>
    <row r="82" spans="1:23" x14ac:dyDescent="0.25">
      <c r="A82" s="8">
        <v>12</v>
      </c>
      <c r="B82"/>
      <c r="C82"/>
      <c r="D82"/>
      <c r="E82"/>
      <c r="F82"/>
      <c r="G82"/>
      <c r="H82"/>
      <c r="I82"/>
      <c r="J82"/>
      <c r="K82"/>
      <c r="M82" s="8">
        <v>12</v>
      </c>
      <c r="N82"/>
      <c r="O82"/>
      <c r="P82"/>
      <c r="Q82"/>
      <c r="R82"/>
      <c r="S82"/>
      <c r="T82"/>
      <c r="U82"/>
      <c r="V82"/>
      <c r="W82"/>
    </row>
    <row r="83" spans="1:23" x14ac:dyDescent="0.25">
      <c r="A83" s="8">
        <v>13</v>
      </c>
      <c r="B83"/>
      <c r="C83"/>
      <c r="D83"/>
      <c r="E83"/>
      <c r="F83"/>
      <c r="G83"/>
      <c r="H83"/>
      <c r="I83"/>
      <c r="J83"/>
      <c r="K83"/>
      <c r="M83" s="8">
        <v>13</v>
      </c>
      <c r="N83"/>
      <c r="O83"/>
      <c r="P83"/>
      <c r="Q83"/>
      <c r="R83"/>
      <c r="S83"/>
      <c r="T83"/>
      <c r="U83"/>
      <c r="V83"/>
      <c r="W83"/>
    </row>
    <row r="84" spans="1:23" x14ac:dyDescent="0.25">
      <c r="A84" s="8">
        <v>14</v>
      </c>
      <c r="B84"/>
      <c r="C84"/>
      <c r="D84"/>
      <c r="E84"/>
      <c r="F84"/>
      <c r="G84"/>
      <c r="H84"/>
      <c r="I84"/>
      <c r="J84"/>
      <c r="K84"/>
      <c r="M84" s="8">
        <v>14</v>
      </c>
      <c r="N84"/>
      <c r="O84"/>
      <c r="P84"/>
      <c r="Q84"/>
      <c r="R84"/>
      <c r="S84"/>
      <c r="T84"/>
      <c r="U84"/>
      <c r="V84"/>
      <c r="W84"/>
    </row>
    <row r="85" spans="1:23" x14ac:dyDescent="0.25">
      <c r="A85" s="8">
        <v>15</v>
      </c>
      <c r="B85"/>
      <c r="C85"/>
      <c r="D85"/>
      <c r="E85"/>
      <c r="F85"/>
      <c r="G85"/>
      <c r="H85"/>
      <c r="I85"/>
      <c r="J85"/>
      <c r="K85"/>
      <c r="M85" s="8">
        <v>15</v>
      </c>
      <c r="N85"/>
      <c r="O85"/>
      <c r="P85"/>
      <c r="Q85"/>
      <c r="R85"/>
      <c r="S85"/>
      <c r="T85"/>
      <c r="U85"/>
      <c r="V85"/>
      <c r="W85"/>
    </row>
    <row r="86" spans="1:23" x14ac:dyDescent="0.25">
      <c r="A86" s="8">
        <v>16</v>
      </c>
      <c r="B86"/>
      <c r="C86"/>
      <c r="D86"/>
      <c r="E86"/>
      <c r="F86"/>
      <c r="G86"/>
      <c r="H86"/>
      <c r="I86"/>
      <c r="J86"/>
      <c r="K86"/>
      <c r="M86" s="8">
        <v>16</v>
      </c>
      <c r="N86"/>
      <c r="O86"/>
      <c r="P86"/>
      <c r="Q86"/>
      <c r="R86"/>
      <c r="S86"/>
      <c r="T86"/>
      <c r="U86"/>
      <c r="V86"/>
      <c r="W86"/>
    </row>
    <row r="87" spans="1:23" x14ac:dyDescent="0.25">
      <c r="A87" s="8">
        <v>17</v>
      </c>
      <c r="B87"/>
      <c r="C87"/>
      <c r="D87"/>
      <c r="E87"/>
      <c r="F87"/>
      <c r="G87"/>
      <c r="H87"/>
      <c r="I87"/>
      <c r="J87"/>
      <c r="K87"/>
      <c r="M87" s="8">
        <v>17</v>
      </c>
      <c r="N87"/>
      <c r="O87"/>
      <c r="P87"/>
      <c r="Q87"/>
      <c r="R87"/>
      <c r="S87"/>
      <c r="T87"/>
      <c r="U87"/>
      <c r="V87"/>
      <c r="W87"/>
    </row>
    <row r="88" spans="1:23" x14ac:dyDescent="0.25">
      <c r="A88" s="8">
        <v>18</v>
      </c>
      <c r="B88"/>
      <c r="C88"/>
      <c r="D88"/>
      <c r="E88"/>
      <c r="F88"/>
      <c r="G88"/>
      <c r="H88"/>
      <c r="I88"/>
      <c r="J88"/>
      <c r="K88"/>
      <c r="M88" s="8">
        <v>18</v>
      </c>
      <c r="N88"/>
      <c r="O88"/>
      <c r="P88"/>
      <c r="Q88"/>
      <c r="R88"/>
      <c r="S88"/>
      <c r="T88"/>
      <c r="U88"/>
      <c r="V88"/>
      <c r="W88"/>
    </row>
    <row r="92" spans="1:23" x14ac:dyDescent="0.25">
      <c r="A92" s="17">
        <v>105</v>
      </c>
      <c r="B92" s="18" t="s">
        <v>1</v>
      </c>
      <c r="C92" s="18"/>
      <c r="D92" s="18"/>
      <c r="E92" s="18"/>
      <c r="F92" s="18"/>
      <c r="G92" s="18"/>
      <c r="H92" s="18"/>
      <c r="I92" s="18"/>
      <c r="J92" s="18"/>
      <c r="K92" s="18"/>
      <c r="M92" s="17">
        <v>106</v>
      </c>
      <c r="N92" s="18" t="s">
        <v>1</v>
      </c>
      <c r="O92" s="18"/>
      <c r="P92" s="18"/>
      <c r="Q92" s="18"/>
      <c r="R92" s="18"/>
      <c r="S92" s="18"/>
      <c r="T92" s="18"/>
      <c r="U92" s="18"/>
      <c r="V92" s="18"/>
      <c r="W92" s="18"/>
    </row>
    <row r="93" spans="1:23" ht="30" x14ac:dyDescent="0.25">
      <c r="A93" s="22" t="s">
        <v>2</v>
      </c>
      <c r="B93" s="27">
        <v>1</v>
      </c>
      <c r="C93" s="27">
        <v>2</v>
      </c>
      <c r="D93" s="27">
        <v>3</v>
      </c>
      <c r="E93" s="27">
        <v>4</v>
      </c>
      <c r="F93" s="27">
        <v>5</v>
      </c>
      <c r="G93" s="27">
        <v>6</v>
      </c>
      <c r="H93" s="27">
        <v>7</v>
      </c>
      <c r="I93" s="27">
        <v>8</v>
      </c>
      <c r="J93" s="27">
        <v>9</v>
      </c>
      <c r="K93" s="27">
        <v>10</v>
      </c>
      <c r="M93" s="22" t="s">
        <v>2</v>
      </c>
      <c r="N93" s="27">
        <v>1</v>
      </c>
      <c r="O93" s="27">
        <v>2</v>
      </c>
      <c r="P93" s="27">
        <v>3</v>
      </c>
      <c r="Q93" s="27">
        <v>4</v>
      </c>
      <c r="R93" s="27">
        <v>5</v>
      </c>
      <c r="S93" s="27">
        <v>6</v>
      </c>
      <c r="T93" s="27">
        <v>7</v>
      </c>
      <c r="U93" s="27">
        <v>8</v>
      </c>
      <c r="V93" s="27">
        <v>9</v>
      </c>
      <c r="W93" s="27">
        <v>10</v>
      </c>
    </row>
    <row r="94" spans="1:23" ht="30" x14ac:dyDescent="0.25">
      <c r="A94" s="8">
        <v>1</v>
      </c>
      <c r="B94"/>
      <c r="C94"/>
      <c r="D94"/>
      <c r="E94"/>
      <c r="F94"/>
      <c r="G94"/>
      <c r="H94"/>
      <c r="I94"/>
      <c r="J94"/>
      <c r="K94"/>
      <c r="M94" s="8">
        <v>1</v>
      </c>
      <c r="N94" s="25" t="s">
        <v>360</v>
      </c>
      <c r="O94"/>
      <c r="P94"/>
      <c r="Q94"/>
      <c r="R94"/>
      <c r="S94"/>
      <c r="T94"/>
      <c r="U94"/>
      <c r="V94"/>
      <c r="W94"/>
    </row>
    <row r="95" spans="1:23" x14ac:dyDescent="0.25">
      <c r="A95" s="8">
        <v>2</v>
      </c>
      <c r="B95"/>
      <c r="C95"/>
      <c r="D95"/>
      <c r="E95"/>
      <c r="F95"/>
      <c r="G95"/>
      <c r="H95"/>
      <c r="I95"/>
      <c r="J95"/>
      <c r="K95"/>
      <c r="M95" s="8">
        <v>2</v>
      </c>
      <c r="N95"/>
      <c r="O95"/>
      <c r="P95"/>
      <c r="Q95"/>
      <c r="R95"/>
      <c r="S95"/>
      <c r="T95"/>
      <c r="U95"/>
      <c r="V95"/>
      <c r="W95"/>
    </row>
    <row r="96" spans="1:23" x14ac:dyDescent="0.25">
      <c r="A96" s="8">
        <v>3</v>
      </c>
      <c r="B96"/>
      <c r="C96"/>
      <c r="D96"/>
      <c r="E96"/>
      <c r="F96"/>
      <c r="G96"/>
      <c r="H96"/>
      <c r="I96"/>
      <c r="J96"/>
      <c r="K96"/>
      <c r="M96" s="8">
        <v>3</v>
      </c>
      <c r="N96"/>
      <c r="O96"/>
      <c r="P96"/>
      <c r="Q96"/>
      <c r="R96"/>
      <c r="S96"/>
      <c r="T96"/>
      <c r="U96"/>
      <c r="V96"/>
      <c r="W96"/>
    </row>
    <row r="97" spans="1:23" x14ac:dyDescent="0.25">
      <c r="A97" s="8">
        <v>4</v>
      </c>
      <c r="B97"/>
      <c r="C97"/>
      <c r="D97"/>
      <c r="E97"/>
      <c r="F97"/>
      <c r="G97"/>
      <c r="H97"/>
      <c r="I97"/>
      <c r="J97"/>
      <c r="K97"/>
      <c r="M97" s="8">
        <v>4</v>
      </c>
      <c r="N97"/>
      <c r="O97"/>
      <c r="P97"/>
      <c r="Q97"/>
      <c r="R97"/>
      <c r="S97"/>
      <c r="T97"/>
      <c r="U97"/>
      <c r="V97"/>
      <c r="W97"/>
    </row>
    <row r="98" spans="1:23" x14ac:dyDescent="0.25">
      <c r="A98" s="8">
        <v>5</v>
      </c>
      <c r="B98"/>
      <c r="C98"/>
      <c r="D98"/>
      <c r="E98"/>
      <c r="F98"/>
      <c r="G98"/>
      <c r="H98"/>
      <c r="I98"/>
      <c r="J98"/>
      <c r="K98"/>
      <c r="M98" s="8">
        <v>5</v>
      </c>
      <c r="N98"/>
      <c r="O98"/>
      <c r="P98"/>
      <c r="Q98"/>
      <c r="R98"/>
      <c r="S98"/>
      <c r="T98"/>
      <c r="U98"/>
      <c r="V98"/>
      <c r="W98"/>
    </row>
    <row r="99" spans="1:23" ht="60" x14ac:dyDescent="0.25">
      <c r="A99" s="8">
        <v>6</v>
      </c>
      <c r="B99"/>
      <c r="C99"/>
      <c r="D99" s="25" t="s">
        <v>453</v>
      </c>
      <c r="E99"/>
      <c r="F99"/>
      <c r="G99" s="25" t="s">
        <v>454</v>
      </c>
      <c r="H99"/>
      <c r="I99"/>
      <c r="J99"/>
      <c r="K99"/>
      <c r="M99" s="8">
        <v>6</v>
      </c>
      <c r="N99"/>
      <c r="O99"/>
      <c r="P99"/>
      <c r="Q99" s="25" t="s">
        <v>456</v>
      </c>
      <c r="R99"/>
      <c r="S99" s="25" t="s">
        <v>393</v>
      </c>
      <c r="T99"/>
      <c r="U99"/>
      <c r="V99"/>
      <c r="W99"/>
    </row>
    <row r="100" spans="1:23" ht="30" x14ac:dyDescent="0.25">
      <c r="A100" s="8">
        <v>7</v>
      </c>
      <c r="B100" s="25" t="s">
        <v>455</v>
      </c>
      <c r="C100"/>
      <c r="D100"/>
      <c r="E100"/>
      <c r="F100"/>
      <c r="G100" s="25" t="s">
        <v>359</v>
      </c>
      <c r="H100"/>
      <c r="I100"/>
      <c r="J100"/>
      <c r="K100"/>
      <c r="M100" s="8">
        <v>7</v>
      </c>
      <c r="N100"/>
      <c r="O100"/>
      <c r="P100"/>
      <c r="Q100"/>
      <c r="R100"/>
      <c r="S100" s="25" t="s">
        <v>457</v>
      </c>
      <c r="T100"/>
      <c r="U100"/>
      <c r="V100"/>
      <c r="W100"/>
    </row>
    <row r="101" spans="1:23" x14ac:dyDescent="0.25">
      <c r="A101" s="8">
        <v>8</v>
      </c>
      <c r="B101"/>
      <c r="C101"/>
      <c r="D101"/>
      <c r="E101"/>
      <c r="F101"/>
      <c r="G101"/>
      <c r="H101"/>
      <c r="I101"/>
      <c r="J101"/>
      <c r="K101"/>
      <c r="M101" s="8">
        <v>8</v>
      </c>
      <c r="N101"/>
      <c r="O101"/>
      <c r="P101"/>
      <c r="Q101"/>
      <c r="R101"/>
      <c r="S101"/>
      <c r="T101"/>
      <c r="U101"/>
      <c r="V101"/>
      <c r="W101"/>
    </row>
    <row r="102" spans="1:23" x14ac:dyDescent="0.25">
      <c r="A102" s="8">
        <v>9</v>
      </c>
      <c r="B102"/>
      <c r="C102"/>
      <c r="D102"/>
      <c r="E102"/>
      <c r="F102"/>
      <c r="G102"/>
      <c r="H102"/>
      <c r="I102"/>
      <c r="J102"/>
      <c r="K102"/>
      <c r="M102" s="8">
        <v>9</v>
      </c>
      <c r="N102"/>
      <c r="O102"/>
      <c r="P102"/>
      <c r="Q102"/>
      <c r="R102"/>
      <c r="S102"/>
      <c r="T102"/>
      <c r="U102"/>
      <c r="V102"/>
      <c r="W102"/>
    </row>
    <row r="103" spans="1:23" x14ac:dyDescent="0.25">
      <c r="A103" s="8">
        <v>10</v>
      </c>
      <c r="B103"/>
      <c r="C103"/>
      <c r="D103"/>
      <c r="E103"/>
      <c r="F103"/>
      <c r="G103"/>
      <c r="H103"/>
      <c r="I103"/>
      <c r="J103"/>
      <c r="K103"/>
      <c r="M103" s="8">
        <v>10</v>
      </c>
      <c r="N103"/>
      <c r="O103"/>
      <c r="P103"/>
      <c r="Q103"/>
      <c r="R103"/>
      <c r="S103"/>
      <c r="T103"/>
      <c r="U103"/>
      <c r="V103"/>
      <c r="W103"/>
    </row>
    <row r="104" spans="1:23" x14ac:dyDescent="0.25">
      <c r="A104" s="8">
        <v>11</v>
      </c>
      <c r="B104"/>
      <c r="C104"/>
      <c r="D104"/>
      <c r="E104"/>
      <c r="F104"/>
      <c r="G104"/>
      <c r="H104"/>
      <c r="I104"/>
      <c r="J104"/>
      <c r="K104"/>
      <c r="M104" s="8">
        <v>11</v>
      </c>
      <c r="N104"/>
      <c r="O104"/>
      <c r="P104"/>
      <c r="Q104"/>
      <c r="R104"/>
      <c r="S104"/>
      <c r="T104"/>
      <c r="U104"/>
      <c r="V104"/>
      <c r="W104"/>
    </row>
    <row r="105" spans="1:23" x14ac:dyDescent="0.25">
      <c r="A105" s="8">
        <v>12</v>
      </c>
      <c r="B105"/>
      <c r="C105"/>
      <c r="D105"/>
      <c r="E105"/>
      <c r="F105"/>
      <c r="G105"/>
      <c r="H105"/>
      <c r="I105"/>
      <c r="J105"/>
      <c r="K105"/>
      <c r="M105" s="8">
        <v>12</v>
      </c>
      <c r="N105"/>
      <c r="O105"/>
      <c r="P105"/>
      <c r="Q105"/>
      <c r="R105"/>
      <c r="S105"/>
      <c r="T105"/>
      <c r="U105"/>
      <c r="V105"/>
      <c r="W105"/>
    </row>
    <row r="106" spans="1:23" x14ac:dyDescent="0.25">
      <c r="A106" s="8">
        <v>13</v>
      </c>
      <c r="B106"/>
      <c r="C106"/>
      <c r="D106"/>
      <c r="E106"/>
      <c r="F106"/>
      <c r="G106"/>
      <c r="H106"/>
      <c r="I106"/>
      <c r="J106"/>
      <c r="K106"/>
      <c r="M106" s="8">
        <v>13</v>
      </c>
      <c r="N106"/>
      <c r="O106"/>
      <c r="P106"/>
      <c r="Q106"/>
      <c r="R106"/>
      <c r="S106"/>
      <c r="T106"/>
      <c r="U106"/>
      <c r="V106"/>
      <c r="W106"/>
    </row>
    <row r="107" spans="1:23" x14ac:dyDescent="0.25">
      <c r="A107" s="8">
        <v>14</v>
      </c>
      <c r="B107"/>
      <c r="C107"/>
      <c r="D107"/>
      <c r="E107"/>
      <c r="F107"/>
      <c r="G107"/>
      <c r="H107"/>
      <c r="I107"/>
      <c r="J107"/>
      <c r="K107"/>
      <c r="M107" s="8">
        <v>14</v>
      </c>
      <c r="N107"/>
      <c r="O107"/>
      <c r="P107"/>
      <c r="Q107"/>
      <c r="R107"/>
      <c r="S107"/>
      <c r="T107"/>
      <c r="U107"/>
      <c r="V107"/>
      <c r="W107"/>
    </row>
    <row r="108" spans="1:23" x14ac:dyDescent="0.25">
      <c r="A108" s="8">
        <v>15</v>
      </c>
      <c r="B108"/>
      <c r="C108"/>
      <c r="D108"/>
      <c r="E108"/>
      <c r="F108"/>
      <c r="G108"/>
      <c r="H108"/>
      <c r="I108"/>
      <c r="J108"/>
      <c r="K108"/>
      <c r="M108" s="8">
        <v>15</v>
      </c>
      <c r="N108"/>
      <c r="O108"/>
      <c r="P108"/>
      <c r="Q108"/>
      <c r="R108"/>
      <c r="S108"/>
      <c r="T108"/>
      <c r="U108"/>
      <c r="V108"/>
      <c r="W108"/>
    </row>
    <row r="109" spans="1:23" x14ac:dyDescent="0.25">
      <c r="A109" s="8">
        <v>16</v>
      </c>
      <c r="B109"/>
      <c r="C109"/>
      <c r="D109"/>
      <c r="E109"/>
      <c r="F109"/>
      <c r="G109"/>
      <c r="H109"/>
      <c r="I109"/>
      <c r="J109"/>
      <c r="K109"/>
      <c r="M109" s="8">
        <v>16</v>
      </c>
      <c r="N109"/>
      <c r="O109"/>
      <c r="P109"/>
      <c r="Q109"/>
      <c r="R109"/>
      <c r="S109"/>
      <c r="T109"/>
      <c r="U109"/>
      <c r="V109"/>
      <c r="W109"/>
    </row>
    <row r="110" spans="1:23" x14ac:dyDescent="0.25">
      <c r="A110" s="8">
        <v>17</v>
      </c>
      <c r="B110"/>
      <c r="C110"/>
      <c r="D110"/>
      <c r="E110"/>
      <c r="F110"/>
      <c r="G110"/>
      <c r="H110"/>
      <c r="I110"/>
      <c r="J110"/>
      <c r="K110"/>
      <c r="M110" s="8">
        <v>17</v>
      </c>
      <c r="N110"/>
      <c r="O110"/>
      <c r="P110"/>
      <c r="Q110"/>
      <c r="R110"/>
      <c r="S110"/>
      <c r="T110"/>
      <c r="U110"/>
      <c r="V110"/>
      <c r="W110"/>
    </row>
    <row r="111" spans="1:23" x14ac:dyDescent="0.25">
      <c r="A111" s="8">
        <v>18</v>
      </c>
      <c r="B111"/>
      <c r="C111"/>
      <c r="D111"/>
      <c r="E111"/>
      <c r="F111"/>
      <c r="G111"/>
      <c r="H111"/>
      <c r="I111"/>
      <c r="J111"/>
      <c r="K111"/>
      <c r="M111" s="8">
        <v>18</v>
      </c>
      <c r="N111"/>
      <c r="O111"/>
      <c r="P111"/>
      <c r="Q111"/>
      <c r="R111"/>
      <c r="S111"/>
      <c r="T111"/>
      <c r="U111"/>
      <c r="V111"/>
      <c r="W111"/>
    </row>
    <row r="114" spans="1:23" x14ac:dyDescent="0.25">
      <c r="A114" s="17">
        <v>107</v>
      </c>
      <c r="B114" s="18" t="s">
        <v>1</v>
      </c>
      <c r="C114" s="18"/>
      <c r="D114" s="18"/>
      <c r="E114" s="18"/>
      <c r="F114" s="18"/>
      <c r="G114" s="18"/>
      <c r="H114" s="18"/>
      <c r="I114" s="18"/>
      <c r="J114" s="18"/>
      <c r="K114" s="18"/>
      <c r="M114" s="17" t="s">
        <v>22</v>
      </c>
      <c r="N114" s="18" t="s">
        <v>1</v>
      </c>
      <c r="O114" s="18"/>
      <c r="P114" s="18"/>
      <c r="Q114" s="18"/>
      <c r="R114" s="18"/>
      <c r="S114" s="18"/>
      <c r="T114" s="18"/>
      <c r="U114" s="18"/>
      <c r="V114" s="18"/>
      <c r="W114" s="18"/>
    </row>
    <row r="115" spans="1:23" ht="30" x14ac:dyDescent="0.25">
      <c r="A115" s="22" t="s">
        <v>2</v>
      </c>
      <c r="B115" s="27">
        <v>1</v>
      </c>
      <c r="C115" s="27">
        <v>2</v>
      </c>
      <c r="D115" s="27">
        <v>3</v>
      </c>
      <c r="E115" s="27">
        <v>4</v>
      </c>
      <c r="F115" s="27">
        <v>5</v>
      </c>
      <c r="G115" s="27">
        <v>6</v>
      </c>
      <c r="H115" s="27">
        <v>7</v>
      </c>
      <c r="I115" s="27">
        <v>8</v>
      </c>
      <c r="J115" s="27">
        <v>9</v>
      </c>
      <c r="K115" s="27">
        <v>10</v>
      </c>
      <c r="M115" s="22" t="s">
        <v>2</v>
      </c>
      <c r="N115" s="27">
        <v>1</v>
      </c>
      <c r="O115" s="27">
        <v>2</v>
      </c>
      <c r="P115" s="27">
        <v>3</v>
      </c>
      <c r="Q115" s="27">
        <v>4</v>
      </c>
      <c r="R115" s="27">
        <v>5</v>
      </c>
      <c r="S115" s="27">
        <v>6</v>
      </c>
      <c r="T115" s="27">
        <v>7</v>
      </c>
      <c r="U115" s="27">
        <v>8</v>
      </c>
      <c r="V115" s="27">
        <v>9</v>
      </c>
      <c r="W115" s="27">
        <v>10</v>
      </c>
    </row>
    <row r="116" spans="1:23" ht="30" x14ac:dyDescent="0.25">
      <c r="A116" s="8">
        <v>1</v>
      </c>
      <c r="B116"/>
      <c r="C116"/>
      <c r="D116"/>
      <c r="E116"/>
      <c r="F116" s="25" t="s">
        <v>340</v>
      </c>
      <c r="G116"/>
      <c r="H116"/>
      <c r="I116"/>
      <c r="J116"/>
      <c r="K116"/>
      <c r="M116" s="8">
        <v>1</v>
      </c>
      <c r="N116"/>
      <c r="O116"/>
      <c r="P116"/>
      <c r="Q116"/>
      <c r="R116"/>
      <c r="S116"/>
      <c r="T116"/>
      <c r="U116"/>
      <c r="V116"/>
      <c r="W116"/>
    </row>
    <row r="117" spans="1:23" ht="30" x14ac:dyDescent="0.25">
      <c r="A117" s="8">
        <v>2</v>
      </c>
      <c r="B117"/>
      <c r="C117"/>
      <c r="D117" s="25" t="s">
        <v>347</v>
      </c>
      <c r="E117"/>
      <c r="F117"/>
      <c r="G117"/>
      <c r="H117"/>
      <c r="I117"/>
      <c r="J117"/>
      <c r="K117"/>
      <c r="M117" s="8">
        <v>2</v>
      </c>
      <c r="N117"/>
      <c r="O117"/>
      <c r="P117"/>
      <c r="Q117"/>
      <c r="R117"/>
      <c r="S117"/>
      <c r="T117"/>
      <c r="U117"/>
      <c r="V117"/>
      <c r="W117"/>
    </row>
    <row r="118" spans="1:23" ht="30" x14ac:dyDescent="0.25">
      <c r="A118" s="8">
        <v>3</v>
      </c>
      <c r="B118" s="25" t="s">
        <v>458</v>
      </c>
      <c r="C118"/>
      <c r="D118"/>
      <c r="E118"/>
      <c r="F118"/>
      <c r="G118"/>
      <c r="H118"/>
      <c r="I118"/>
      <c r="J118"/>
      <c r="K118"/>
      <c r="M118" s="8">
        <v>3</v>
      </c>
      <c r="N118"/>
      <c r="O118"/>
      <c r="P118"/>
      <c r="Q118"/>
      <c r="R118"/>
      <c r="S118"/>
      <c r="T118"/>
      <c r="U118"/>
      <c r="V118"/>
      <c r="W118"/>
    </row>
    <row r="119" spans="1:23" ht="45" x14ac:dyDescent="0.25">
      <c r="A119" s="8">
        <v>4</v>
      </c>
      <c r="B119"/>
      <c r="C119"/>
      <c r="D119"/>
      <c r="E119"/>
      <c r="F119" s="25" t="s">
        <v>459</v>
      </c>
      <c r="G119" s="25" t="s">
        <v>362</v>
      </c>
      <c r="H119"/>
      <c r="I119"/>
      <c r="J119"/>
      <c r="K119"/>
      <c r="M119" s="8">
        <v>4</v>
      </c>
      <c r="N119" s="25" t="s">
        <v>346</v>
      </c>
      <c r="O119"/>
      <c r="P119"/>
      <c r="Q119" s="25" t="s">
        <v>354</v>
      </c>
      <c r="R119"/>
      <c r="S119"/>
      <c r="T119" s="25" t="s">
        <v>345</v>
      </c>
      <c r="U119"/>
      <c r="V119"/>
      <c r="W119"/>
    </row>
    <row r="120" spans="1:23" ht="30" x14ac:dyDescent="0.25">
      <c r="A120" s="8">
        <v>5</v>
      </c>
      <c r="B120"/>
      <c r="C120" s="25" t="s">
        <v>460</v>
      </c>
      <c r="D120"/>
      <c r="E120"/>
      <c r="F120" s="25" t="s">
        <v>461</v>
      </c>
      <c r="G120"/>
      <c r="H120"/>
      <c r="I120" s="25" t="s">
        <v>344</v>
      </c>
      <c r="J120"/>
      <c r="K120"/>
      <c r="M120" s="8">
        <v>5</v>
      </c>
      <c r="N120" s="25" t="s">
        <v>355</v>
      </c>
      <c r="O120"/>
      <c r="P120"/>
      <c r="Q120"/>
      <c r="R120"/>
      <c r="S120"/>
      <c r="T120"/>
      <c r="U120"/>
      <c r="V120"/>
      <c r="W120"/>
    </row>
    <row r="121" spans="1:23" ht="45" x14ac:dyDescent="0.25">
      <c r="A121" s="8">
        <v>6</v>
      </c>
      <c r="B121" s="25" t="s">
        <v>462</v>
      </c>
      <c r="C121" s="25" t="s">
        <v>463</v>
      </c>
      <c r="D121"/>
      <c r="E121"/>
      <c r="F121"/>
      <c r="G121" s="25" t="s">
        <v>377</v>
      </c>
      <c r="H121"/>
      <c r="I121"/>
      <c r="J121"/>
      <c r="K121"/>
      <c r="M121" s="8">
        <v>6</v>
      </c>
      <c r="N121"/>
      <c r="O121" s="25" t="s">
        <v>343</v>
      </c>
      <c r="P121"/>
      <c r="Q121"/>
      <c r="R121"/>
      <c r="S121"/>
      <c r="T121"/>
      <c r="U121" s="25" t="s">
        <v>352</v>
      </c>
      <c r="V121"/>
      <c r="W121"/>
    </row>
    <row r="122" spans="1:23" ht="30" x14ac:dyDescent="0.25">
      <c r="A122" s="8">
        <v>7</v>
      </c>
      <c r="B122"/>
      <c r="C122"/>
      <c r="D122"/>
      <c r="E122"/>
      <c r="F122"/>
      <c r="G122"/>
      <c r="H122"/>
      <c r="I122"/>
      <c r="J122"/>
      <c r="K122"/>
      <c r="M122" s="8">
        <v>7</v>
      </c>
      <c r="N122" s="25" t="s">
        <v>348</v>
      </c>
      <c r="O122"/>
      <c r="P122"/>
      <c r="Q122"/>
      <c r="R122"/>
      <c r="S122"/>
      <c r="T122"/>
      <c r="U122"/>
      <c r="V122"/>
      <c r="W122"/>
    </row>
    <row r="123" spans="1:23" x14ac:dyDescent="0.25">
      <c r="A123" s="8">
        <v>8</v>
      </c>
      <c r="B123"/>
      <c r="C123"/>
      <c r="D123"/>
      <c r="E123"/>
      <c r="F123"/>
      <c r="G123"/>
      <c r="H123"/>
      <c r="I123"/>
      <c r="J123"/>
      <c r="K123"/>
      <c r="M123" s="8">
        <v>8</v>
      </c>
      <c r="N123"/>
      <c r="O123"/>
      <c r="P123"/>
      <c r="Q123"/>
      <c r="R123"/>
      <c r="S123"/>
      <c r="T123"/>
      <c r="U123"/>
      <c r="V123"/>
      <c r="W123"/>
    </row>
    <row r="124" spans="1:23" x14ac:dyDescent="0.25">
      <c r="A124" s="8">
        <v>9</v>
      </c>
      <c r="B124"/>
      <c r="C124"/>
      <c r="D124"/>
      <c r="E124"/>
      <c r="F124"/>
      <c r="G124"/>
      <c r="H124"/>
      <c r="I124"/>
      <c r="J124"/>
      <c r="K124"/>
      <c r="M124" s="8">
        <v>9</v>
      </c>
      <c r="N124"/>
      <c r="O124"/>
      <c r="P124"/>
      <c r="Q124"/>
      <c r="R124"/>
      <c r="S124"/>
      <c r="T124"/>
      <c r="U124"/>
      <c r="V124"/>
      <c r="W124"/>
    </row>
    <row r="125" spans="1:23" x14ac:dyDescent="0.25">
      <c r="A125" s="8">
        <v>10</v>
      </c>
      <c r="B125"/>
      <c r="C125"/>
      <c r="D125"/>
      <c r="E125"/>
      <c r="F125"/>
      <c r="G125"/>
      <c r="H125"/>
      <c r="I125"/>
      <c r="J125"/>
      <c r="K125"/>
      <c r="M125" s="8">
        <v>10</v>
      </c>
      <c r="N125"/>
      <c r="O125"/>
      <c r="P125"/>
      <c r="Q125"/>
      <c r="R125"/>
      <c r="S125"/>
      <c r="T125"/>
      <c r="U125"/>
      <c r="V125"/>
      <c r="W125"/>
    </row>
    <row r="126" spans="1:23" x14ac:dyDescent="0.25">
      <c r="A126" s="8">
        <v>11</v>
      </c>
      <c r="B126"/>
      <c r="C126"/>
      <c r="D126"/>
      <c r="E126"/>
      <c r="F126"/>
      <c r="G126"/>
      <c r="H126"/>
      <c r="I126"/>
      <c r="J126"/>
      <c r="K126"/>
      <c r="M126" s="8">
        <v>11</v>
      </c>
      <c r="N126"/>
      <c r="O126"/>
      <c r="P126"/>
      <c r="Q126"/>
      <c r="R126"/>
      <c r="S126"/>
      <c r="T126"/>
      <c r="U126"/>
      <c r="V126"/>
      <c r="W126"/>
    </row>
    <row r="127" spans="1:23" x14ac:dyDescent="0.25">
      <c r="A127" s="8">
        <v>12</v>
      </c>
      <c r="B127"/>
      <c r="C127"/>
      <c r="D127"/>
      <c r="E127"/>
      <c r="F127"/>
      <c r="G127"/>
      <c r="H127"/>
      <c r="I127"/>
      <c r="J127"/>
      <c r="K127"/>
      <c r="M127" s="8">
        <v>12</v>
      </c>
      <c r="N127"/>
      <c r="O127"/>
      <c r="P127"/>
      <c r="Q127"/>
      <c r="R127"/>
      <c r="S127"/>
      <c r="T127"/>
      <c r="U127"/>
      <c r="V127"/>
      <c r="W127"/>
    </row>
    <row r="128" spans="1:23" x14ac:dyDescent="0.25">
      <c r="A128" s="8">
        <v>13</v>
      </c>
      <c r="B128"/>
      <c r="C128"/>
      <c r="D128"/>
      <c r="E128"/>
      <c r="F128"/>
      <c r="G128"/>
      <c r="H128"/>
      <c r="I128"/>
      <c r="J128"/>
      <c r="K128"/>
      <c r="M128" s="8">
        <v>13</v>
      </c>
      <c r="N128"/>
      <c r="O128"/>
      <c r="P128"/>
      <c r="Q128"/>
      <c r="R128"/>
      <c r="S128"/>
      <c r="T128"/>
      <c r="U128"/>
      <c r="V128"/>
      <c r="W128"/>
    </row>
    <row r="129" spans="1:23" x14ac:dyDescent="0.25">
      <c r="A129" s="8">
        <v>14</v>
      </c>
      <c r="B129"/>
      <c r="C129"/>
      <c r="D129"/>
      <c r="E129"/>
      <c r="F129"/>
      <c r="G129"/>
      <c r="H129"/>
      <c r="I129"/>
      <c r="J129"/>
      <c r="K129"/>
      <c r="M129" s="8">
        <v>14</v>
      </c>
      <c r="N129"/>
      <c r="O129"/>
      <c r="P129"/>
      <c r="Q129"/>
      <c r="R129"/>
      <c r="S129"/>
      <c r="T129"/>
      <c r="U129"/>
      <c r="V129"/>
      <c r="W129"/>
    </row>
    <row r="130" spans="1:23" x14ac:dyDescent="0.25">
      <c r="A130" s="8">
        <v>15</v>
      </c>
      <c r="B130"/>
      <c r="C130"/>
      <c r="D130"/>
      <c r="E130"/>
      <c r="F130"/>
      <c r="G130"/>
      <c r="H130"/>
      <c r="I130"/>
      <c r="J130"/>
      <c r="K130"/>
      <c r="M130" s="8">
        <v>15</v>
      </c>
      <c r="N130"/>
      <c r="O130"/>
      <c r="P130"/>
      <c r="Q130"/>
      <c r="R130"/>
      <c r="S130"/>
      <c r="T130"/>
      <c r="U130"/>
      <c r="V130"/>
      <c r="W130"/>
    </row>
    <row r="131" spans="1:23" x14ac:dyDescent="0.25">
      <c r="A131" s="8">
        <v>16</v>
      </c>
      <c r="B131"/>
      <c r="C131"/>
      <c r="D131"/>
      <c r="E131"/>
      <c r="F131"/>
      <c r="G131"/>
      <c r="H131"/>
      <c r="I131"/>
      <c r="J131"/>
      <c r="K131"/>
      <c r="M131" s="8">
        <v>16</v>
      </c>
      <c r="N131"/>
      <c r="O131"/>
      <c r="P131"/>
      <c r="Q131"/>
      <c r="R131"/>
      <c r="S131"/>
      <c r="T131"/>
      <c r="U131"/>
      <c r="V131"/>
      <c r="W131"/>
    </row>
    <row r="132" spans="1:23" x14ac:dyDescent="0.25">
      <c r="A132" s="8">
        <v>17</v>
      </c>
      <c r="B132"/>
      <c r="C132"/>
      <c r="D132"/>
      <c r="E132"/>
      <c r="F132"/>
      <c r="G132"/>
      <c r="H132"/>
      <c r="I132"/>
      <c r="J132"/>
      <c r="K132"/>
      <c r="M132" s="8">
        <v>17</v>
      </c>
      <c r="N132"/>
      <c r="O132"/>
      <c r="P132"/>
      <c r="Q132"/>
      <c r="R132"/>
      <c r="S132"/>
      <c r="T132"/>
      <c r="U132"/>
      <c r="V132"/>
      <c r="W132"/>
    </row>
    <row r="133" spans="1:23" x14ac:dyDescent="0.25">
      <c r="A133" s="8">
        <v>18</v>
      </c>
      <c r="B133"/>
      <c r="C133"/>
      <c r="D133"/>
      <c r="E133"/>
      <c r="F133"/>
      <c r="G133"/>
      <c r="H133"/>
      <c r="I133"/>
      <c r="J133"/>
      <c r="K133"/>
      <c r="M133" s="8">
        <v>18</v>
      </c>
      <c r="N133"/>
      <c r="O133"/>
      <c r="P133"/>
      <c r="Q133"/>
      <c r="R133"/>
      <c r="S133"/>
      <c r="T133"/>
      <c r="U133"/>
      <c r="V133"/>
      <c r="W133"/>
    </row>
    <row r="136" spans="1:23" x14ac:dyDescent="0.25">
      <c r="A136" s="17" t="s">
        <v>24</v>
      </c>
      <c r="B136" s="18" t="s">
        <v>1</v>
      </c>
      <c r="C136" s="18"/>
      <c r="D136" s="18"/>
      <c r="E136" s="18"/>
      <c r="F136" s="18"/>
      <c r="G136" s="18"/>
      <c r="H136" s="18"/>
      <c r="I136" s="18"/>
      <c r="J136" s="18"/>
      <c r="K136" s="18"/>
      <c r="M136" s="17" t="s">
        <v>25</v>
      </c>
      <c r="N136" s="18" t="s">
        <v>1</v>
      </c>
      <c r="O136" s="18"/>
      <c r="P136" s="18"/>
      <c r="Q136" s="18"/>
      <c r="R136" s="18"/>
      <c r="S136" s="18"/>
      <c r="T136" s="18"/>
      <c r="U136" s="18"/>
      <c r="V136" s="18"/>
      <c r="W136" s="18"/>
    </row>
    <row r="137" spans="1:23" ht="30" x14ac:dyDescent="0.25">
      <c r="A137" s="22" t="s">
        <v>2</v>
      </c>
      <c r="B137" s="27">
        <v>1</v>
      </c>
      <c r="C137" s="27">
        <v>2</v>
      </c>
      <c r="D137" s="27">
        <v>3</v>
      </c>
      <c r="E137" s="27">
        <v>4</v>
      </c>
      <c r="F137" s="27">
        <v>5</v>
      </c>
      <c r="G137" s="27">
        <v>6</v>
      </c>
      <c r="H137" s="27">
        <v>7</v>
      </c>
      <c r="I137" s="27">
        <v>8</v>
      </c>
      <c r="J137" s="27">
        <v>9</v>
      </c>
      <c r="K137" s="27">
        <v>10</v>
      </c>
      <c r="M137" s="22" t="s">
        <v>2</v>
      </c>
      <c r="N137" s="27">
        <v>1</v>
      </c>
      <c r="O137" s="27">
        <v>2</v>
      </c>
      <c r="P137" s="27">
        <v>3</v>
      </c>
      <c r="Q137" s="27">
        <v>4</v>
      </c>
      <c r="R137" s="27">
        <v>5</v>
      </c>
      <c r="S137" s="27">
        <v>6</v>
      </c>
      <c r="T137" s="27">
        <v>7</v>
      </c>
      <c r="U137" s="27">
        <v>8</v>
      </c>
      <c r="V137" s="27">
        <v>9</v>
      </c>
      <c r="W137" s="27">
        <v>10</v>
      </c>
    </row>
    <row r="138" spans="1:23" x14ac:dyDescent="0.25">
      <c r="A138" s="8">
        <v>1</v>
      </c>
      <c r="B138"/>
      <c r="C138"/>
      <c r="D138"/>
      <c r="E138"/>
      <c r="F138"/>
      <c r="G138"/>
      <c r="H138"/>
      <c r="I138"/>
      <c r="J138"/>
      <c r="K138"/>
      <c r="M138" s="8">
        <v>1</v>
      </c>
      <c r="N138"/>
      <c r="O138"/>
      <c r="P138"/>
      <c r="Q138"/>
      <c r="R138"/>
      <c r="S138"/>
      <c r="T138"/>
      <c r="U138"/>
      <c r="V138"/>
      <c r="W138"/>
    </row>
    <row r="139" spans="1:23" x14ac:dyDescent="0.25">
      <c r="A139" s="8">
        <v>2</v>
      </c>
      <c r="B139"/>
      <c r="C139"/>
      <c r="D139"/>
      <c r="E139"/>
      <c r="F139"/>
      <c r="G139"/>
      <c r="H139"/>
      <c r="I139"/>
      <c r="J139"/>
      <c r="K139"/>
      <c r="M139" s="8">
        <v>2</v>
      </c>
      <c r="N139"/>
      <c r="O139"/>
      <c r="P139"/>
      <c r="Q139"/>
      <c r="R139"/>
      <c r="S139"/>
      <c r="T139"/>
      <c r="U139"/>
      <c r="V139"/>
      <c r="W139"/>
    </row>
    <row r="140" spans="1:23" x14ac:dyDescent="0.25">
      <c r="A140" s="8">
        <v>3</v>
      </c>
      <c r="B140"/>
      <c r="C140"/>
      <c r="D140"/>
      <c r="E140"/>
      <c r="F140"/>
      <c r="G140"/>
      <c r="H140"/>
      <c r="I140"/>
      <c r="J140"/>
      <c r="K140"/>
      <c r="M140" s="8">
        <v>3</v>
      </c>
      <c r="N140"/>
      <c r="O140"/>
      <c r="P140"/>
      <c r="Q140"/>
      <c r="R140"/>
      <c r="S140"/>
      <c r="T140"/>
      <c r="U140"/>
      <c r="V140"/>
      <c r="W140"/>
    </row>
    <row r="141" spans="1:23" ht="45" x14ac:dyDescent="0.25">
      <c r="A141" s="8">
        <v>4</v>
      </c>
      <c r="B141"/>
      <c r="C141"/>
      <c r="D141"/>
      <c r="E141"/>
      <c r="F141"/>
      <c r="G141"/>
      <c r="H141"/>
      <c r="I141"/>
      <c r="J141"/>
      <c r="K141"/>
      <c r="M141" s="8">
        <v>4</v>
      </c>
      <c r="N141"/>
      <c r="O141"/>
      <c r="P141"/>
      <c r="Q141"/>
      <c r="R141"/>
      <c r="S141"/>
      <c r="T141" s="25" t="s">
        <v>464</v>
      </c>
      <c r="U141"/>
      <c r="V141"/>
      <c r="W141"/>
    </row>
    <row r="142" spans="1:23" x14ac:dyDescent="0.25">
      <c r="A142" s="8">
        <v>5</v>
      </c>
      <c r="B142"/>
      <c r="C142"/>
      <c r="D142"/>
      <c r="E142"/>
      <c r="F142"/>
      <c r="G142"/>
      <c r="H142"/>
      <c r="I142"/>
      <c r="J142"/>
      <c r="K142"/>
      <c r="M142" s="8">
        <v>5</v>
      </c>
      <c r="N142"/>
      <c r="O142"/>
      <c r="P142"/>
      <c r="Q142"/>
      <c r="R142"/>
      <c r="S142"/>
      <c r="T142"/>
      <c r="U142"/>
      <c r="V142"/>
      <c r="W142"/>
    </row>
    <row r="143" spans="1:23" ht="30" x14ac:dyDescent="0.25">
      <c r="A143" s="8">
        <v>6</v>
      </c>
      <c r="B143"/>
      <c r="C143" s="25" t="s">
        <v>341</v>
      </c>
      <c r="D143"/>
      <c r="E143"/>
      <c r="F143" s="25" t="s">
        <v>353</v>
      </c>
      <c r="G143"/>
      <c r="H143"/>
      <c r="I143" s="25" t="s">
        <v>352</v>
      </c>
      <c r="J143"/>
      <c r="K143"/>
      <c r="M143" s="8">
        <v>6</v>
      </c>
      <c r="N143"/>
      <c r="O143"/>
      <c r="P143"/>
      <c r="Q143"/>
      <c r="R143" s="25" t="s">
        <v>353</v>
      </c>
      <c r="S143"/>
      <c r="T143"/>
      <c r="U143"/>
      <c r="V143"/>
      <c r="W143"/>
    </row>
    <row r="144" spans="1:23" x14ac:dyDescent="0.25">
      <c r="A144" s="8">
        <v>7</v>
      </c>
      <c r="B144"/>
      <c r="C144"/>
      <c r="D144"/>
      <c r="E144"/>
      <c r="F144"/>
      <c r="G144"/>
      <c r="H144"/>
      <c r="I144"/>
      <c r="J144"/>
      <c r="K144"/>
      <c r="M144" s="8">
        <v>7</v>
      </c>
      <c r="N144"/>
      <c r="O144"/>
      <c r="P144"/>
      <c r="Q144"/>
      <c r="R144"/>
      <c r="S144"/>
      <c r="T144"/>
      <c r="U144"/>
      <c r="V144"/>
      <c r="W144"/>
    </row>
    <row r="145" spans="1:23" x14ac:dyDescent="0.25">
      <c r="A145" s="8">
        <v>8</v>
      </c>
      <c r="B145"/>
      <c r="C145"/>
      <c r="D145"/>
      <c r="E145"/>
      <c r="F145"/>
      <c r="G145"/>
      <c r="H145"/>
      <c r="I145"/>
      <c r="J145"/>
      <c r="K145"/>
      <c r="M145" s="8">
        <v>8</v>
      </c>
      <c r="N145"/>
      <c r="O145"/>
      <c r="P145"/>
      <c r="Q145"/>
      <c r="R145"/>
      <c r="S145"/>
      <c r="T145"/>
      <c r="U145"/>
      <c r="V145"/>
      <c r="W145"/>
    </row>
    <row r="146" spans="1:23" x14ac:dyDescent="0.25">
      <c r="A146" s="8">
        <v>9</v>
      </c>
      <c r="B146"/>
      <c r="C146"/>
      <c r="D146"/>
      <c r="E146"/>
      <c r="F146"/>
      <c r="G146"/>
      <c r="H146"/>
      <c r="I146"/>
      <c r="J146"/>
      <c r="K146"/>
      <c r="M146" s="8">
        <v>9</v>
      </c>
      <c r="N146"/>
      <c r="O146"/>
      <c r="P146"/>
      <c r="Q146"/>
      <c r="R146"/>
      <c r="S146"/>
      <c r="T146"/>
      <c r="U146"/>
      <c r="V146"/>
      <c r="W146"/>
    </row>
    <row r="147" spans="1:23" x14ac:dyDescent="0.25">
      <c r="A147" s="8">
        <v>10</v>
      </c>
      <c r="B147"/>
      <c r="C147"/>
      <c r="D147"/>
      <c r="E147"/>
      <c r="F147"/>
      <c r="G147"/>
      <c r="H147"/>
      <c r="I147"/>
      <c r="J147"/>
      <c r="K147"/>
      <c r="M147" s="8">
        <v>10</v>
      </c>
      <c r="N147"/>
      <c r="O147"/>
      <c r="P147"/>
      <c r="Q147"/>
      <c r="R147"/>
      <c r="S147"/>
      <c r="T147"/>
      <c r="U147"/>
      <c r="V147"/>
      <c r="W147"/>
    </row>
    <row r="148" spans="1:23" x14ac:dyDescent="0.25">
      <c r="A148" s="8">
        <v>11</v>
      </c>
      <c r="B148"/>
      <c r="C148"/>
      <c r="D148"/>
      <c r="E148"/>
      <c r="F148"/>
      <c r="G148"/>
      <c r="H148"/>
      <c r="I148"/>
      <c r="J148"/>
      <c r="K148"/>
      <c r="M148" s="8">
        <v>11</v>
      </c>
      <c r="N148"/>
      <c r="O148"/>
      <c r="P148"/>
      <c r="Q148"/>
      <c r="R148"/>
      <c r="S148"/>
      <c r="T148"/>
      <c r="U148"/>
      <c r="V148"/>
      <c r="W148"/>
    </row>
    <row r="149" spans="1:23" x14ac:dyDescent="0.25">
      <c r="A149" s="8">
        <v>12</v>
      </c>
      <c r="B149"/>
      <c r="C149"/>
      <c r="D149"/>
      <c r="E149"/>
      <c r="F149"/>
      <c r="G149"/>
      <c r="H149"/>
      <c r="I149"/>
      <c r="J149"/>
      <c r="K149"/>
      <c r="M149" s="8">
        <v>12</v>
      </c>
      <c r="N149"/>
      <c r="O149"/>
      <c r="P149"/>
      <c r="Q149"/>
      <c r="R149"/>
      <c r="S149"/>
      <c r="T149"/>
      <c r="U149"/>
      <c r="V149"/>
      <c r="W149"/>
    </row>
    <row r="150" spans="1:23" x14ac:dyDescent="0.25">
      <c r="A150" s="8">
        <v>13</v>
      </c>
      <c r="B150"/>
      <c r="C150"/>
      <c r="D150"/>
      <c r="E150"/>
      <c r="F150"/>
      <c r="G150"/>
      <c r="H150"/>
      <c r="I150"/>
      <c r="J150"/>
      <c r="K150"/>
      <c r="M150" s="8">
        <v>13</v>
      </c>
      <c r="N150"/>
      <c r="O150"/>
      <c r="P150"/>
      <c r="Q150"/>
      <c r="R150"/>
      <c r="S150"/>
      <c r="T150"/>
      <c r="U150"/>
      <c r="V150"/>
      <c r="W150"/>
    </row>
    <row r="151" spans="1:23" x14ac:dyDescent="0.25">
      <c r="A151" s="8">
        <v>14</v>
      </c>
      <c r="B151"/>
      <c r="C151"/>
      <c r="D151"/>
      <c r="E151"/>
      <c r="F151"/>
      <c r="G151"/>
      <c r="H151"/>
      <c r="I151"/>
      <c r="J151"/>
      <c r="K151"/>
      <c r="M151" s="8">
        <v>14</v>
      </c>
      <c r="N151"/>
      <c r="O151"/>
      <c r="P151"/>
      <c r="Q151"/>
      <c r="R151"/>
      <c r="S151"/>
      <c r="T151"/>
      <c r="U151"/>
      <c r="V151"/>
      <c r="W151"/>
    </row>
    <row r="152" spans="1:23" x14ac:dyDescent="0.25">
      <c r="A152" s="8">
        <v>15</v>
      </c>
      <c r="B152"/>
      <c r="C152"/>
      <c r="D152"/>
      <c r="E152"/>
      <c r="F152"/>
      <c r="G152"/>
      <c r="H152"/>
      <c r="I152"/>
      <c r="J152"/>
      <c r="K152"/>
      <c r="M152" s="8">
        <v>15</v>
      </c>
      <c r="N152"/>
      <c r="O152"/>
      <c r="P152"/>
      <c r="Q152"/>
      <c r="R152"/>
      <c r="S152"/>
      <c r="T152"/>
      <c r="U152"/>
      <c r="V152"/>
      <c r="W152"/>
    </row>
    <row r="153" spans="1:23" x14ac:dyDescent="0.25">
      <c r="A153" s="8">
        <v>16</v>
      </c>
      <c r="B153"/>
      <c r="C153"/>
      <c r="D153"/>
      <c r="E153"/>
      <c r="F153"/>
      <c r="G153"/>
      <c r="H153"/>
      <c r="I153"/>
      <c r="J153"/>
      <c r="K153"/>
      <c r="M153" s="8">
        <v>16</v>
      </c>
      <c r="N153"/>
      <c r="O153"/>
      <c r="P153"/>
      <c r="Q153"/>
      <c r="R153"/>
      <c r="S153"/>
      <c r="T153"/>
      <c r="U153"/>
      <c r="V153"/>
      <c r="W153"/>
    </row>
    <row r="154" spans="1:23" x14ac:dyDescent="0.25">
      <c r="A154" s="8">
        <v>17</v>
      </c>
      <c r="B154"/>
      <c r="C154"/>
      <c r="D154"/>
      <c r="E154"/>
      <c r="F154"/>
      <c r="G154"/>
      <c r="H154"/>
      <c r="I154"/>
      <c r="J154"/>
      <c r="K154"/>
      <c r="M154" s="8">
        <v>17</v>
      </c>
      <c r="N154"/>
      <c r="O154"/>
      <c r="P154"/>
      <c r="Q154"/>
      <c r="R154"/>
      <c r="S154"/>
      <c r="T154"/>
      <c r="U154"/>
      <c r="V154"/>
      <c r="W154"/>
    </row>
    <row r="155" spans="1:23" x14ac:dyDescent="0.25">
      <c r="A155" s="8">
        <v>18</v>
      </c>
      <c r="B155"/>
      <c r="C155"/>
      <c r="D155"/>
      <c r="E155"/>
      <c r="F155"/>
      <c r="G155"/>
      <c r="H155"/>
      <c r="I155"/>
      <c r="J155"/>
      <c r="K155"/>
      <c r="M155" s="8">
        <v>18</v>
      </c>
      <c r="N155"/>
      <c r="O155"/>
      <c r="P155"/>
      <c r="Q155"/>
      <c r="R155"/>
      <c r="S155"/>
      <c r="T155"/>
      <c r="U155"/>
      <c r="V155"/>
      <c r="W155"/>
    </row>
    <row r="158" spans="1:23" x14ac:dyDescent="0.25">
      <c r="A158" s="17" t="s">
        <v>26</v>
      </c>
      <c r="B158" s="18" t="s">
        <v>1</v>
      </c>
      <c r="C158" s="18"/>
      <c r="D158" s="18"/>
      <c r="E158" s="18"/>
      <c r="F158" s="18"/>
      <c r="G158" s="18"/>
      <c r="H158" s="18"/>
      <c r="I158" s="18"/>
      <c r="J158" s="18"/>
      <c r="K158" s="18"/>
    </row>
    <row r="159" spans="1:23" ht="30" x14ac:dyDescent="0.25">
      <c r="A159" s="22" t="s">
        <v>2</v>
      </c>
      <c r="B159" s="27">
        <v>1</v>
      </c>
      <c r="C159" s="27">
        <v>2</v>
      </c>
      <c r="D159" s="27">
        <v>3</v>
      </c>
      <c r="E159" s="27">
        <v>4</v>
      </c>
      <c r="F159" s="27">
        <v>5</v>
      </c>
      <c r="G159" s="27">
        <v>6</v>
      </c>
      <c r="H159" s="27">
        <v>7</v>
      </c>
      <c r="I159" s="27">
        <v>8</v>
      </c>
      <c r="J159" s="27">
        <v>9</v>
      </c>
      <c r="K159" s="27">
        <v>10</v>
      </c>
    </row>
    <row r="160" spans="1:23" x14ac:dyDescent="0.25">
      <c r="A160" s="8">
        <v>1</v>
      </c>
      <c r="B160"/>
      <c r="C160"/>
      <c r="D160"/>
      <c r="E160"/>
      <c r="F160"/>
      <c r="G160"/>
      <c r="H160"/>
      <c r="I160"/>
      <c r="J160"/>
      <c r="K160"/>
    </row>
    <row r="161" spans="1:11" x14ac:dyDescent="0.25">
      <c r="A161" s="8">
        <v>2</v>
      </c>
      <c r="B161"/>
      <c r="C161"/>
      <c r="D161"/>
      <c r="E161"/>
      <c r="F161"/>
      <c r="G161"/>
      <c r="H161"/>
      <c r="I161"/>
      <c r="J161"/>
      <c r="K161"/>
    </row>
    <row r="162" spans="1:11" x14ac:dyDescent="0.25">
      <c r="A162" s="8">
        <v>3</v>
      </c>
      <c r="B162"/>
      <c r="C162"/>
      <c r="D162"/>
      <c r="E162"/>
      <c r="F162"/>
      <c r="G162"/>
      <c r="H162"/>
      <c r="I162"/>
      <c r="J162"/>
      <c r="K162"/>
    </row>
    <row r="163" spans="1:11" ht="45" x14ac:dyDescent="0.25">
      <c r="A163" s="8">
        <v>4</v>
      </c>
      <c r="B163" s="25" t="s">
        <v>346</v>
      </c>
      <c r="C163"/>
      <c r="D163"/>
      <c r="E163" s="25" t="s">
        <v>354</v>
      </c>
      <c r="F163"/>
      <c r="G163"/>
      <c r="H163" s="25" t="s">
        <v>350</v>
      </c>
      <c r="I163"/>
      <c r="J163"/>
      <c r="K163"/>
    </row>
    <row r="164" spans="1:11" ht="30" x14ac:dyDescent="0.25">
      <c r="A164" s="8">
        <v>5</v>
      </c>
      <c r="B164" s="25" t="s">
        <v>355</v>
      </c>
      <c r="C164"/>
      <c r="D164"/>
      <c r="E164"/>
      <c r="F164"/>
      <c r="G164"/>
      <c r="H164"/>
      <c r="I164"/>
      <c r="J164"/>
      <c r="K164"/>
    </row>
    <row r="165" spans="1:11" ht="60" x14ac:dyDescent="0.25">
      <c r="A165" s="8">
        <v>6</v>
      </c>
      <c r="B165"/>
      <c r="C165" s="25" t="s">
        <v>465</v>
      </c>
      <c r="D165"/>
      <c r="E165"/>
      <c r="F165" s="25" t="s">
        <v>466</v>
      </c>
      <c r="G165"/>
      <c r="H165"/>
      <c r="I165" s="25" t="s">
        <v>352</v>
      </c>
      <c r="J165"/>
      <c r="K165"/>
    </row>
    <row r="166" spans="1:11" ht="30" x14ac:dyDescent="0.25">
      <c r="A166" s="8">
        <v>7</v>
      </c>
      <c r="B166" s="25" t="s">
        <v>348</v>
      </c>
      <c r="C166"/>
      <c r="D166"/>
      <c r="E166"/>
      <c r="F166"/>
      <c r="G166"/>
      <c r="H166"/>
      <c r="I166"/>
      <c r="J166"/>
      <c r="K166"/>
    </row>
    <row r="167" spans="1:11" x14ac:dyDescent="0.25">
      <c r="A167" s="8">
        <v>8</v>
      </c>
      <c r="B167"/>
      <c r="C167"/>
      <c r="D167"/>
      <c r="E167"/>
      <c r="F167"/>
      <c r="G167"/>
      <c r="H167"/>
      <c r="I167"/>
      <c r="J167"/>
      <c r="K167"/>
    </row>
    <row r="168" spans="1:11" x14ac:dyDescent="0.25">
      <c r="A168" s="8">
        <v>9</v>
      </c>
      <c r="B168"/>
      <c r="C168"/>
      <c r="D168"/>
      <c r="E168"/>
      <c r="F168"/>
      <c r="G168"/>
      <c r="H168"/>
      <c r="I168"/>
      <c r="J168"/>
      <c r="K168"/>
    </row>
    <row r="169" spans="1:11" x14ac:dyDescent="0.25">
      <c r="A169" s="8">
        <v>10</v>
      </c>
      <c r="B169"/>
      <c r="C169"/>
      <c r="D169"/>
      <c r="E169"/>
      <c r="F169"/>
      <c r="G169"/>
      <c r="H169"/>
      <c r="I169"/>
      <c r="J169"/>
      <c r="K169"/>
    </row>
    <row r="170" spans="1:11" x14ac:dyDescent="0.25">
      <c r="A170" s="8">
        <v>11</v>
      </c>
      <c r="B170"/>
      <c r="C170"/>
      <c r="D170"/>
      <c r="E170"/>
      <c r="F170"/>
      <c r="G170"/>
      <c r="H170"/>
      <c r="I170"/>
      <c r="J170"/>
      <c r="K170"/>
    </row>
    <row r="171" spans="1:11" x14ac:dyDescent="0.25">
      <c r="A171" s="8">
        <v>12</v>
      </c>
      <c r="B171"/>
      <c r="C171"/>
      <c r="D171"/>
      <c r="E171"/>
      <c r="F171"/>
      <c r="G171"/>
      <c r="H171"/>
      <c r="I171"/>
      <c r="J171"/>
      <c r="K171"/>
    </row>
    <row r="172" spans="1:11" x14ac:dyDescent="0.25">
      <c r="A172" s="8">
        <v>13</v>
      </c>
      <c r="B172"/>
      <c r="C172"/>
      <c r="D172"/>
      <c r="E172"/>
      <c r="F172"/>
      <c r="G172"/>
      <c r="H172"/>
      <c r="I172"/>
      <c r="J172"/>
      <c r="K172"/>
    </row>
    <row r="173" spans="1:11" x14ac:dyDescent="0.25">
      <c r="A173" s="8">
        <v>14</v>
      </c>
      <c r="B173"/>
      <c r="C173"/>
      <c r="D173"/>
      <c r="E173"/>
      <c r="F173"/>
      <c r="G173"/>
      <c r="H173"/>
      <c r="I173"/>
      <c r="J173"/>
      <c r="K173"/>
    </row>
    <row r="174" spans="1:11" x14ac:dyDescent="0.25">
      <c r="A174" s="8">
        <v>15</v>
      </c>
      <c r="B174"/>
      <c r="C174"/>
      <c r="D174"/>
      <c r="E174"/>
      <c r="F174"/>
      <c r="G174"/>
      <c r="H174"/>
      <c r="I174"/>
      <c r="J174"/>
      <c r="K174"/>
    </row>
    <row r="175" spans="1:11" x14ac:dyDescent="0.25">
      <c r="A175" s="8">
        <v>16</v>
      </c>
      <c r="B175"/>
      <c r="C175"/>
      <c r="D175"/>
      <c r="E175"/>
      <c r="F175"/>
      <c r="G175"/>
      <c r="H175"/>
      <c r="I175"/>
      <c r="J175"/>
      <c r="K175"/>
    </row>
    <row r="176" spans="1:11" x14ac:dyDescent="0.25">
      <c r="A176" s="8">
        <v>17</v>
      </c>
      <c r="B176"/>
      <c r="C176"/>
      <c r="D176"/>
      <c r="E176"/>
      <c r="F176"/>
      <c r="G176"/>
      <c r="H176"/>
      <c r="I176"/>
      <c r="J176"/>
      <c r="K176"/>
    </row>
    <row r="177" spans="1:12" x14ac:dyDescent="0.25">
      <c r="A177" s="8">
        <v>18</v>
      </c>
      <c r="B177"/>
      <c r="C177"/>
      <c r="D177"/>
      <c r="E177"/>
      <c r="F177"/>
      <c r="G177"/>
      <c r="H177"/>
      <c r="I177"/>
      <c r="J177"/>
      <c r="K177"/>
    </row>
    <row r="179" spans="1:12" x14ac:dyDescent="0.25">
      <c r="J179" s="25" t="str">
        <f t="shared" ref="J179:L179" si="0">CONCATENATE(J5,V5)</f>
        <v/>
      </c>
      <c r="K179" s="25" t="str">
        <f t="shared" si="0"/>
        <v/>
      </c>
      <c r="L179" s="25" t="str">
        <f t="shared" si="0"/>
        <v>105</v>
      </c>
    </row>
    <row r="199" spans="1:14" ht="30" x14ac:dyDescent="0.25">
      <c r="B199" s="25" t="s">
        <v>268</v>
      </c>
    </row>
    <row r="200" spans="1:14" x14ac:dyDescent="0.25">
      <c r="A200" s="23" t="s">
        <v>17</v>
      </c>
      <c r="B200" s="22" t="s">
        <v>1</v>
      </c>
      <c r="C200" s="22"/>
      <c r="D200" s="22"/>
      <c r="E200" s="22"/>
      <c r="F200" s="22"/>
      <c r="G200" s="22"/>
      <c r="H200" s="22"/>
      <c r="I200" s="22"/>
      <c r="J200" s="22"/>
      <c r="K200" s="22"/>
    </row>
    <row r="201" spans="1:14" ht="30" x14ac:dyDescent="0.25">
      <c r="A201" s="22" t="s">
        <v>2</v>
      </c>
      <c r="B201" s="26">
        <v>1</v>
      </c>
      <c r="C201" s="26">
        <v>2</v>
      </c>
      <c r="D201" s="26">
        <v>3</v>
      </c>
      <c r="E201" s="26">
        <v>4</v>
      </c>
      <c r="F201" s="26">
        <v>5</v>
      </c>
      <c r="G201" s="26">
        <v>6</v>
      </c>
      <c r="H201" s="26">
        <v>7</v>
      </c>
      <c r="I201" s="26">
        <v>8</v>
      </c>
      <c r="J201" s="26">
        <v>9</v>
      </c>
      <c r="K201" s="26">
        <v>10</v>
      </c>
    </row>
    <row r="202" spans="1:14" ht="360" x14ac:dyDescent="0.25">
      <c r="A202" s="24">
        <v>1</v>
      </c>
      <c r="B202" s="25" t="str">
        <f>CONCATENATE(B5,$B$199,B27,$B$199,B49,$B$199,B71,$B$199,B94,$B$199,B116,$B$199,B138,$B$199,B160,$B$199,N5,$B$199,N27,$B$199,N49,$B$199,N71,$B$199,N94,$B$199,N116,$B$199,N138,$B$199,N160,$B$199)</f>
        <v xml:space="preserve">İşletme  - tek  B( Banka)  M.Hakan Sağlam
Ekonomi  ( PAZR )
İşletme  - tek  B( Banka)  M.Hakan Sağlam
Ekonomi  ( PAZR )
İş ve Sosyal Güvenlik Hukuku  ( MUH)
İKTİSAT ( İŞL )
İKTİSAT ( İŞL )
</v>
      </c>
      <c r="C202" s="25" t="str">
        <f t="shared" ref="C202:K202" si="1">CONCATENATE(C5,$B$199,C27,$B$199,C49,$B$199,C71,$B$199,C94,$B$199,C116,$B$199,C138,$B$199,C160,$B$199,O5,$B$199,O27,$B$199,O49,$B$199,O71,$B$199,O94,$B$199,O116,$B$199,O138,$B$199,O160,$B$199)</f>
        <v xml:space="preserve">İŞ ETİĞİ ( İŞL )
Meslek Etiği  ( MUH)
Sigortacılığa Giriş  -tek( Banka)  Metin Dermiray 1SINF
</v>
      </c>
      <c r="D202" s="25" t="str">
        <f t="shared" si="1"/>
        <v xml:space="preserve">PAZARLAMA İLKELERİ ( İŞL )
HAYAT SİGORTALARI ( Banka)
Ticari Matematik /2.öğ.dah ( MUH)
Ticari Matematik /2.öğ.dah ( MUH)
PAZARLAMA İLKELERİ ( İŞL )
</v>
      </c>
      <c r="E202" s="25" t="str">
        <f t="shared" si="1"/>
        <v xml:space="preserve">HİZMET PAZARLAMASI  ( Banka)
ŞİRKETLER MUHASEBESİ( İŞL )
HİZMET PAZARLAMASI  ( Banka)
GİRİŞİMCİLİK ( PAZR )
</v>
      </c>
      <c r="F202" s="25" t="str">
        <f t="shared" si="1"/>
        <v xml:space="preserve">
Bilgisayar II (EMLAK)
</v>
      </c>
      <c r="G202" s="25" t="str">
        <f t="shared" si="1"/>
        <v xml:space="preserve">
 İşletme - çift A  ( Banka)  M.Hakan Sağlam
</v>
      </c>
      <c r="H202" s="25" t="str">
        <f t="shared" si="1"/>
        <v xml:space="preserve">Ticaret Hukuku ( 2.öğr.dahl)  ( DIŞ )
GİRİŞİMCİLİK VE KÜÇÜK İŞLETME YÖNETİMİ( İŞL )
</v>
      </c>
      <c r="I202" s="25" t="str">
        <f t="shared" si="1"/>
        <v xml:space="preserve">MUHASEBE I  ( İŞL )
Mikro İktisat (EMLAK)
Mikro İktisat (EMLAK)
MUHASEBE I  ( İŞL )
</v>
      </c>
      <c r="J202" s="25" t="str">
        <f t="shared" si="1"/>
        <v xml:space="preserve">
</v>
      </c>
      <c r="K202" s="25" t="str">
        <f t="shared" si="1"/>
        <v xml:space="preserve">
</v>
      </c>
      <c r="N202" s="25" t="str">
        <f>CONCATENATE(N5,$B$199,N27,$B$199,N49,$B$199,N71,$B$199,N94,$B$199,N116,$B$199,N138,$B$199,N160,$B$199)</f>
        <v xml:space="preserve">İş ve Sosyal Güvenlik Hukuku  ( MUH)
İKTİSAT ( İŞL )
İKTİSAT ( İŞL )
</v>
      </c>
    </row>
    <row r="203" spans="1:14" ht="345" x14ac:dyDescent="0.25">
      <c r="A203" s="24">
        <v>2</v>
      </c>
      <c r="B203" s="25" t="str">
        <f t="shared" ref="B203:K203" si="2">CONCATENATE(B6,$B$199,B28,$B$199,B50,$B$199,B72,$B$199,B95,$B$199,B117,$B$199,B139,$B$199,B161,$B$199,N6,$B$199,N28,$B$199,N50,$B$199,N72,$B$199,N95,$B$199,N117,$B$199,N139,$B$199,N161,$B$199)</f>
        <v xml:space="preserve">
Temel İlk Yardım   ( PAZR )  Ç.koruma muadi.
</v>
      </c>
      <c r="C203" s="25" t="str">
        <f t="shared" si="2"/>
        <v xml:space="preserve">Tüketici Davranışları (EMLAK)
SATIŞ GÜCÜ EĞİTİMİ  ( PAZR )
Şirketler Muhasebesi   ( MUH)
Şirketler Muhasebesi   ( MUH)
</v>
      </c>
      <c r="D203" s="25" t="str">
        <f t="shared" si="2"/>
        <v xml:space="preserve">
KURUMLAR SOSYOLOJİSİ  ( İŞL )
</v>
      </c>
      <c r="E203" s="25" t="str">
        <f t="shared" si="2"/>
        <v xml:space="preserve">
Konuk Giriş-Çıkış İşlemleri    ( Turizm) tevfik 1.SINIF
Matematik  ( PAZR ) 1.SINIF
Matematik  ( PAZR ) 1.SINIF
</v>
      </c>
      <c r="F203" s="25" t="str">
        <f t="shared" si="2"/>
        <v xml:space="preserve">DAVRANIŞ BİLİMLERİ ( İŞL )
İNSAN İLİŞKİLERİ VE İLETİŞİM YÖNTEMLERİ ( Banka)
İNSAN İLİŞKİLERİ VE İLETİŞİM YÖNTEMLERİ ( Banka)
Davranış Bilimleri*   ( MUH)
</v>
      </c>
      <c r="G203" s="25" t="str">
        <f t="shared" si="2"/>
        <v xml:space="preserve">
Kamu Maliyesi /2.öğr.dahl ( MUH)
Kat Hizmetleri   ( Turizm)
Kat Hizmetleri   ( Turizm)
</v>
      </c>
      <c r="H203" s="25" t="str">
        <f t="shared" si="2"/>
        <v xml:space="preserve">İmar ve Belediye Mevzuatı (EMLAK)
Lojistik ( 2.öğr.dahil)   ( DIŞ )
Önbüroda Raporlama İşlemleri   ( Turizm) tevfik
</v>
      </c>
      <c r="I203" s="25" t="str">
        <f t="shared" si="2"/>
        <v xml:space="preserve">Uluslararası İktisat I  ( 2.öğr.dahil) ( DIŞ )
MÜŞTERİ İLİŞKİLERİ YÖNETİMİ  ( İŞL )
MÜŞTERİ İLİŞKİLERİ YÖNETİMİ  ( PAZR )
</v>
      </c>
      <c r="J203" s="25" t="str">
        <f t="shared" si="2"/>
        <v xml:space="preserve">
</v>
      </c>
      <c r="K203" s="25" t="str">
        <f t="shared" si="2"/>
        <v xml:space="preserve">
</v>
      </c>
    </row>
    <row r="204" spans="1:14" ht="360" x14ac:dyDescent="0.25">
      <c r="A204" s="24">
        <v>3</v>
      </c>
      <c r="B204" s="25" t="str">
        <f t="shared" ref="B204:K204" si="3">CONCATENATE(B7,$B$199,B29,$B$199,B51,$B$199,B73,$B$199,B96,$B$199,B118,$B$199,B140,$B$199,B162,$B$199,N7,$B$199,N29,$B$199,N51,$B$199,N73,$B$199,N96,$B$199,N118,$B$199,N140,$B$199,N162,$B$199)</f>
        <v xml:space="preserve">
SİGORTA PAZARLAMASI  ( Banka)
</v>
      </c>
      <c r="C204" s="25" t="str">
        <f t="shared" si="3"/>
        <v xml:space="preserve">Temel Hukuk   ( DIŞ )
Araştırma Yöntem ve Teknikleri/2.öğr.dh( MUH)
Temel Hukuk   ( DIŞ )
Araştırma Yöntem ve Teknikleri   ( Turizm)
Seminer (EMLAK)
</v>
      </c>
      <c r="D204" s="25" t="str">
        <f t="shared" si="3"/>
        <v xml:space="preserve">Mikro İktisat  - tek ( Banka) Selma Öner
KAMU MALİYESİ  ( İŞL )
</v>
      </c>
      <c r="E204" s="25" t="str">
        <f t="shared" si="3"/>
        <v xml:space="preserve">Dış Ticaret İşlemleri Muhasebesi  ( MUH)
Menü Planlama    ( Turizm)
BİLGİSAYAR I -  B ( İŞL )
Dış Ticaret İşlemleri Muhasebesi  ( MUH)
</v>
      </c>
      <c r="F204" s="25" t="str">
        <f t="shared" si="3"/>
        <v xml:space="preserve">Sermaye Piyasalarında Gayrimenkul Yatırımları  (EMLAK)
SATIŞ SAHA PLANLAMASI  ( PAZR )
MESLEKİ YABANCI DİL I  B  ( Banka)
</v>
      </c>
      <c r="G204" s="25" t="str">
        <f t="shared" si="3"/>
        <v xml:space="preserve">Gayrimenkulde Temel Kavramlar (EMLAK)
Mikro Ekonomi  ( DIŞ )
Mikro Ekonomi  ( DIŞ )
Gayrimenkulde Temel Kavramlar (EMLAK)
KREDİ TALEPLERİNİN DEĞERLENDİRMESİ  ( Banka)
</v>
      </c>
      <c r="H204" s="25" t="str">
        <f t="shared" si="3"/>
        <v xml:space="preserve">
ÇEVRE KORUMA ( İŞL )
Önbüroda Vardiya İşlemleri    ( Turizm) tevfik
</v>
      </c>
      <c r="I204" s="25" t="str">
        <f t="shared" si="3"/>
        <v xml:space="preserve">
DIŞ TİCARET İŞLEMLERİ  ( Banka)
Çevre Koruma   ( PAZR ) temel ilk yardım muad.
MALİ TABLOLAR ANALİZİ( İŞL ) 2 SINIF 
Bilgisayarda Sunum Teknikleri*  ( DIŞ ) 1.SINIF 
</v>
      </c>
      <c r="J204" s="25" t="str">
        <f t="shared" si="3"/>
        <v xml:space="preserve">
</v>
      </c>
      <c r="K204" s="25" t="str">
        <f t="shared" si="3"/>
        <v xml:space="preserve">
</v>
      </c>
    </row>
    <row r="205" spans="1:14" ht="375" x14ac:dyDescent="0.25">
      <c r="A205" s="24">
        <v>4</v>
      </c>
      <c r="B205" s="25" t="str">
        <f t="shared" ref="B205:K205" si="4">CONCATENATE(B8,$B$199,B30,$B$199,B52,$B$199,B74,$B$199,B97,$B$199,B119,$B$199,B141,$B$199,B163,$B$199,N8,$B$199,N30,$B$199,N52,$B$199,N74,$B$199,N97,$B$199,N119,$B$199,N141,$B$199,N163,$B$199)</f>
        <v xml:space="preserve">Tur Operatörlüğü ve Seyahat Acentacılığı   ( Turizm)
Bilgisayar I  -ÇİFT   ( Banka)   Minire Kırbaşlı
Bilgisayar I  -ÇİFT   ( Banka)   Minire Kırbaşlı
</v>
      </c>
      <c r="C205" s="25" t="str">
        <f t="shared" si="4"/>
        <v xml:space="preserve">Ofis Programları I B  ( MUH) Ali  Kuzu
Genel Turizm    ( Turizm)
Genel Turizm    ( Turizm)
Mesleki Yabancı Dil ( 2.öğr.dahil)  ( DIŞ )
</v>
      </c>
      <c r="D205" s="25" t="str">
        <f t="shared" si="4"/>
        <v xml:space="preserve">Pazarlama İlkeleri   ( PAZR )
KAZA VE SORUMLULUK SİGORTALARI ( Banka)
Pazarlama İlkeleri   ( PAZR )
Tapu Mevzuatı (EMLAK)
Genel Alan Kontrolü   ( Turizm) tevfik
</v>
      </c>
      <c r="E205" s="25" t="str">
        <f t="shared" si="4"/>
        <v xml:space="preserve">İşletme (EMLAK)
Paket Programlar I A ( muhasebe ) Ethem Kahveci
İşletme (EMLAK)
Paket Programlar I A ( muhasebe ) Ethem Kahveci
</v>
      </c>
      <c r="F205" s="25" t="str">
        <f t="shared" si="4"/>
        <v xml:space="preserve">
MESLEKİ YABANCI DİL ( PAZR )
</v>
      </c>
      <c r="G205" s="25" t="str">
        <f t="shared" si="4"/>
        <v xml:space="preserve">
 Genel Muhasebe I/2.öğrdah ( MUH) Tuğçe Kocamış
 Genel Muhasebe I/2.öğrdah ( MUH) Tuğçe Kocamış
</v>
      </c>
      <c r="H205" s="25" t="str">
        <f t="shared" si="4"/>
        <v xml:space="preserve">Genel Muhasebe (EMLAK)
Temel İlk Yardım  ( DIŞ )
BİLGİSAYARDA OFİS PROGRAMLARI ( PAZR )
Bilgisayar I B GRUBU  Minire Kırbaşlı
Bilgisayar I B GRUBU  Minire Kırbaşlı
BİLGİSAYARDA OFİS PROGRAMLARI ( PAZR )
</v>
      </c>
      <c r="I205" s="25" t="str">
        <f t="shared" si="4"/>
        <v xml:space="preserve">Matematik  (EMLAK)
İŞARET DİLİ ( Banka)
İŞARET DİLİ ( Banka)
Matematik  (EMLAK)
Ziyafet Servisi Yönetimi   ( Turizm)
</v>
      </c>
      <c r="J205" s="25" t="str">
        <f t="shared" si="4"/>
        <v xml:space="preserve">
</v>
      </c>
      <c r="K205" s="25" t="str">
        <f t="shared" si="4"/>
        <v xml:space="preserve">
</v>
      </c>
    </row>
    <row r="206" spans="1:14" ht="345" x14ac:dyDescent="0.25">
      <c r="A206" s="24">
        <v>5</v>
      </c>
      <c r="B206" s="25" t="str">
        <f t="shared" ref="B206:K206" si="5">CONCATENATE(B9,$B$199,B31,$B$199,B53,$B$199,B75,$B$199,B98,$B$199,B120,$B$199,B142,$B$199,B164,$B$199,N9,$B$199,N31,$B$199,N53,$B$199,N75,$B$199,N98,$B$199,N120,$B$199,N142,$B$199,N164,$B$199)</f>
        <v xml:space="preserve">İletişim  ( DIŞ )
TÜKETİCİ DAVRANIŞLARI ( İŞL )
TÜKETİCİ DAVRANIŞLARI  ( PAZR )
Ofis Programları I A  ( MUH) Minire Kırbaşlı
MESLEKİ YABANCI DİL I  A  ( Banka)
Ofis Programları I A  ( MUH) Minire Kırbaşlı
</v>
      </c>
      <c r="C206" s="25" t="str">
        <f t="shared" si="5"/>
        <v xml:space="preserve">
Çevre Koruma      ( Turizm) tevfik
</v>
      </c>
      <c r="D206" s="25" t="str">
        <f t="shared" si="5"/>
        <v xml:space="preserve">Elektronik Ticaret    ( DIŞ )
Para ve Bankacılık  (EMLAK)
</v>
      </c>
      <c r="E206" s="25" t="str">
        <f t="shared" si="5"/>
        <v xml:space="preserve">Mikro İktisat  - çift ( Banka) M.Hakan Sağlam
TOPLUMBİLİM ( İŞL )1SINIF 
</v>
      </c>
      <c r="F206" s="25" t="str">
        <f t="shared" si="5"/>
        <v xml:space="preserve">
İşletme Finansmanı* ( MUH) 1 SINIF 
NAKLİYAT SİGORTALARI 2.öğr.dahil ( Banka)
</v>
      </c>
      <c r="G206" s="25" t="str">
        <f t="shared" si="5"/>
        <v xml:space="preserve">İŞLETME FİNANSMANI ( İŞL )
YANGIN VE MÜHENDİSLİK SİGORTALARI  ( Banka)
Bilgi iletişim Teknolojileri/2.öğr.dah Hatice Özkurt 
</v>
      </c>
      <c r="H206" s="25" t="str">
        <f t="shared" si="5"/>
        <v xml:space="preserve">
</v>
      </c>
      <c r="I206" s="25" t="str">
        <f t="shared" si="5"/>
        <v xml:space="preserve">Finansal Yönetim ( MUH)
TİCARET HUKUKU   ( Banka)
İş ve Sosyal Güvenlik Hukuku   ( DIŞ )
İŞ ve SOSYAL GÜVENLİK HUKUKU ( İŞL )
TİCARET HUKUKU   ( Banka)
</v>
      </c>
      <c r="J206" s="25" t="str">
        <f t="shared" si="5"/>
        <v xml:space="preserve">
</v>
      </c>
      <c r="K206" s="25" t="str">
        <f t="shared" si="5"/>
        <v xml:space="preserve">
</v>
      </c>
    </row>
    <row r="207" spans="1:14" ht="409.5" x14ac:dyDescent="0.25">
      <c r="A207" s="24">
        <v>6</v>
      </c>
      <c r="B207" s="25" t="str">
        <f t="shared" ref="B207:K207" si="6">CONCATENATE(B10,$B$199,B32,$B$199,B54,$B$199,B76,$B$199,B99,$B$199,B121,$B$199,B143,$B$199,B165,$B$199,N10,$B$199,N32,$B$199,N54,$B$199,N76,$B$199,N99,$B$199,N121,$B$199,N143,$B$199,N165,$B$199)</f>
        <v xml:space="preserve">
Önbüroda Oda İşlemleri    ( Turizm) tevfik
</v>
      </c>
      <c r="C207" s="25" t="str">
        <f t="shared" si="6"/>
        <v xml:space="preserve">
BİLGİSAYAR I -  A ( İŞL )
Bilgisayar I A GRUBU Tolga Akagün
Bilgisayar I A GRUBU Tolga Akagün
YAPI MALZEM BİLGİSAYAR UYGULI I ( PAZR )
YAPI MALZEM BİLGİSAYAR UYGULI I ( PAZR )
</v>
      </c>
      <c r="D207" s="25" t="str">
        <f t="shared" si="6"/>
        <v xml:space="preserve">Temel Hukuk  - tek  B ( Banka) Erkan Arslan
TEMEL HUKUK  ( İŞL )
Temel Hukuk ( MUH)
Temel Hukuk (EMLAK)
PAZARLAMA ARAŞTIRMASI  ( PAZR )
Temel Hukuk ( MUH)
Temel Hukuk (EMLAK)
TEMEL HUKUK  ( İŞL )
Temel Hukuk  -çift    A ( Banka) Erkan Arslan
Uluslararası Pazarlama 2.öğr.dahil   ( DIŞ )
</v>
      </c>
      <c r="E207" s="25" t="str">
        <f t="shared" si="6"/>
        <v xml:space="preserve">Yabancı Dil I (EMLAK)
Yabancı Dil I ( Banka)
İnsan Kaynakları Yönetimi*  ( MUH)
YABANCI DİL I ( İŞL )
Yabancı Dil I ( Banka)
Yabancı Dil I  ( PAZR )
YABANCI DİL I ( İŞL )
Dış Ticarette Standardizasyon ( 2.öğr.dah ( DIŞ )
Yabancı Dil I (EMLAK)
Yabancı Dil I  ( PAZR )
İşletme Yönetimi I    ( Turizm)
</v>
      </c>
      <c r="F207" s="25" t="str">
        <f t="shared" si="6"/>
        <v xml:space="preserve">TÜRK DİLİ I ( İŞL ) ( Yabancı öğ.dahil)
Türk Dili I   ( Banka)
Türk Dili I  ( yabn öğr.dahil )( PAZR )
TÜRK DİLİ I ( İŞL ) ( Yabancı öğ.dahil)
Türk Dili I   ( Banka)
Paket Programlar I B ( muhasebe ) Emine Ertürk
Bilgi ve İletişim Teknolojisi    ( Turizm) tolga 
Türk Dili I (EMLAK)
Türk Dili I  ( yabn öğr.dahil )( PAZR )
Türk Dili I (EMLAK)
Dış Ticaret İşlemleri II ( 2.öğr.dah)  ( DIŞ )
Paket Programlar I B ( muhasebe ) Emine Ertürk
</v>
      </c>
      <c r="G207" s="25" t="str">
        <f t="shared" si="6"/>
        <v xml:space="preserve">Atatürk İlkeleri ve Inkılap Tarihi I (EMLAK)
Genel Muhasebe ( ikinci öğr.dahil)  ( DIŞ )
Önbüro Hizmetleri   ( Turizm)
Atatürk İlkeleri ve Inkılap Tarihi I (EMLAK)
Atatürk İlkeleri ve İnkilap Tarihi I ( yabn öğr.dahil)
Mikro Ekonomi /2.öğr.dhl (( MUH) Selma Öner
ATATÜRK İLKELERİ VE İNKILAP TARİHİ I  ( İŞL )
Atatürk İlkeleri ve İnkılap Tarihi I  ( Banka)
Atatürk İlkeleri ve İnkilap Tarihi I ( yabn öğr.dahil)
Atatürk İlkeleri ve İnkılap Tarihi I  ( Banka)
Önbüro Hizmetleri   ( Turizm)
ATATÜRK İLKELERİ VE İNKILAP TARİHİ I  ( İŞL )
Atatürk İlkeleri ve İnkılap Tarihi I  ( Banka)
Genel Muhasebe ( ikinci öğr.dahil)  ( DIŞ )
Mikro Ekonomi /2.öğr.dhl (( MUH) Selma Öner
</v>
      </c>
      <c r="H207" s="25" t="str">
        <f t="shared" si="6"/>
        <v xml:space="preserve">BANKA MUHASEBESİ  ( Banka)
Emlak Pazarlama Yönetimi (EMLAK)
</v>
      </c>
      <c r="I207" s="25" t="str">
        <f t="shared" si="6"/>
        <v xml:space="preserve">Matematik  ( Banka)   Müfit Giresunlu
 İŞLETME  ( İŞL )
 İŞLETME  ( İŞL )
Turizm Mevzuatı  ( Turizm)
Bilgisayar I (EMLAK)
Bilgisayar I (EMLAK)
Matematik  ( Banka)   Müfit Giresunlu
Çevre Koruma  ( DIŞ ) 2.SINIF
Matematik  ( Banka)   Müfit Giresunlu
Bilgisayar I (EMLAK)
</v>
      </c>
      <c r="J207" s="25" t="str">
        <f t="shared" si="6"/>
        <v xml:space="preserve">
</v>
      </c>
      <c r="K207" s="25" t="str">
        <f t="shared" si="6"/>
        <v xml:space="preserve">
</v>
      </c>
    </row>
    <row r="208" spans="1:14" ht="409.5" x14ac:dyDescent="0.25">
      <c r="A208" s="24">
        <v>7</v>
      </c>
      <c r="B208" s="25" t="str">
        <f t="shared" ref="B208:K208" si="7">CONCATENATE(B11,$B$199,B33,$B$199,B55,$B$199,B77,$B$199,B100,$B$199,B122,$B$199,B144,$B$199,B166,$B$199,N11,$B$199,N33,$B$199,N55,$B$199,N77,$B$199,N100,$B$199,N122,$B$199,N144,$B$199,N166,$B$199)</f>
        <v xml:space="preserve">
Araştırma Yöntem ve Teknikleri 2.öğrdah ( DIŞ )
Girişimcilik ve Franchising 
Bilgisayar I  -TEK ( Banka)   Tolga Akagün
Bilgisayar I  -TEK ( Banka)   Tolga Akagün
</v>
      </c>
      <c r="C208" s="25" t="str">
        <f t="shared" si="7"/>
        <v xml:space="preserve">Muhasebe I  ( Banka)  Adem Elikara
YAPI MALZELEMELERİ PAZARLAMASI ( PAZR )
İletişim  ( MUH)
Bilgi ve İletişim Teknolojisi*  ( DIŞ )
Muhasebe I  ( Banka)  Adem Elikara
Mesleki Yabancı Dil-I    ( Turizm)-2.SINIF
</v>
      </c>
      <c r="D208" s="25" t="str">
        <f t="shared" si="7"/>
        <v xml:space="preserve">İSTATİSTİK ( Banka)
Maliyet Muhasebesi /2.ÖĞR DAH ( MUH)
Maliyet Muhasebesi /2.ÖĞR DAH ( MUH)
İSTATİSTİK ( Banka)
</v>
      </c>
      <c r="E208" s="25" t="str">
        <f t="shared" si="7"/>
        <v xml:space="preserve">Sigortacılığa Giriş  -çift2.öğr.dah  ( Banka)   Erkan Arslan
Yabancı Dil I    ( Turizm)
Yabancı Dil I   ( DIŞ )
Yabancı Dil I    ( Turizm)
Sigortaya Giriş (EMLAK)
SİGORTA PAZARLAMASI ( PAZR )
Yabancı Dil I ( MUH)
Yabancı Dil I   ( DIŞ )
Yabancı Dil I ( MUH)
</v>
      </c>
      <c r="F208" s="25" t="str">
        <f t="shared" si="7"/>
        <v xml:space="preserve">İnsan Kaynakları Yönetimi (EMLAK)
Türk Dili I / yabn öğr.dahl) ( MUH)
Türk Dili I / yabn öğr.dahl) ( MUH)
Türk Dili I   ( yabn öğr.dahil)  ( DIŞ )
İNSAN KAYNAKLARI YÖNETİMİ ( İŞL )
Türk Dili I   ( yabn öğr.dahil)  ( DIŞ )
Türk Dili I / yabn öğr.dahl)
</v>
      </c>
      <c r="G208" s="25" t="str">
        <f t="shared" si="7"/>
        <v xml:space="preserve">Pazarlama İlkeleri (EMLAK)
Atatürk İlkİnkılap Tarihi I  / yab öğr.dahl ( Turizm)
Atatürk İlkeleri ve İnkılap Tarihi I  ( MUH)
TURİZM İŞLETMELERİNDE MALİYET ANALİZLERİ tevfik
Genel İşletme ( PAZR )
Atatürk İnkılap Tarihi I  yab.öğr dahil  ( DIŞ )
Atatürk İlkeleri ve İnkılap Tarihi I  ( MUH)
VERGİ HUKUKU ( İŞL )
Genel İşletme ( PAZR )
Atatürk İnkılap Tarihi I  yab.öğr dahil  ( DIŞ )
</v>
      </c>
      <c r="H208" s="25" t="str">
        <f t="shared" si="7"/>
        <v xml:space="preserve">TİCARİ MATEMATİK  ( İŞL )
Bankacılığa Giriş  ( Banka)
Bankacılığa Giriş  ( Banka)
Vergi Hukuku  ( MUH)
TİCARİ MATEMATİK  ( İŞL )
Vergi Hukuku  ( MUH)
</v>
      </c>
      <c r="I208" s="25" t="str">
        <f t="shared" si="7"/>
        <v xml:space="preserve">İletişim  ( PAZR )
Yiyecek İçecek Servisi    ( Turizm)
İşletme ( İkinci öğr.dahil)  ( DIŞ )
İletişim  ( PAZR )
İşletme ( İkinci öğr.dahil)  ( DIŞ )
Yiyecek İçecek Servisi    ( Turizm)
</v>
      </c>
      <c r="J208" s="25" t="str">
        <f t="shared" si="7"/>
        <v xml:space="preserve">
</v>
      </c>
      <c r="K208" s="25" t="str">
        <f t="shared" si="7"/>
        <v xml:space="preserve">
</v>
      </c>
    </row>
    <row r="209" spans="1:11" ht="255" x14ac:dyDescent="0.25">
      <c r="A209" s="24">
        <v>8</v>
      </c>
      <c r="B209" s="25" t="str">
        <f t="shared" ref="B209:K209" si="8">CONCATENATE(B12,$B$199,B34,$B$199,B56,$B$199,B78,$B$199,B101,$B$199,B123,$B$199,B145,$B$199,B167,$B$199,N12,$B$199,N34,$B$199,N56,$B$199,N78,$B$199,N101,$B$199,N123,$B$199,N145,$B$199,N167,$B$199)</f>
        <v xml:space="preserve">
</v>
      </c>
      <c r="C209" s="25" t="str">
        <f t="shared" si="8"/>
        <v xml:space="preserve">
</v>
      </c>
      <c r="D209" s="25" t="str">
        <f t="shared" si="8"/>
        <v xml:space="preserve">
</v>
      </c>
      <c r="E209" s="25" t="str">
        <f t="shared" si="8"/>
        <v xml:space="preserve">
</v>
      </c>
      <c r="F209" s="25" t="str">
        <f t="shared" si="8"/>
        <v xml:space="preserve">
</v>
      </c>
      <c r="G209" s="25" t="str">
        <f t="shared" si="8"/>
        <v xml:space="preserve">
</v>
      </c>
      <c r="H209" s="25" t="str">
        <f t="shared" si="8"/>
        <v xml:space="preserve">
</v>
      </c>
      <c r="I209" s="25" t="str">
        <f t="shared" si="8"/>
        <v xml:space="preserve">
</v>
      </c>
      <c r="J209" s="25" t="str">
        <f t="shared" si="8"/>
        <v xml:space="preserve">
</v>
      </c>
      <c r="K209" s="25" t="str">
        <f t="shared" si="8"/>
        <v xml:space="preserve">
</v>
      </c>
    </row>
    <row r="210" spans="1:11" ht="255" x14ac:dyDescent="0.25">
      <c r="A210" s="24">
        <v>9</v>
      </c>
      <c r="B210" s="25" t="str">
        <f t="shared" ref="B210:K210" si="9">CONCATENATE(B13,$B$199,B35,$B$199,B57,$B$199,B79,$B$199,B102,$B$199,B124,$B$199,B146,$B$199,B168,$B$199,N13,$B$199,N35,$B$199,N57,$B$199,N79,$B$199,N102,$B$199,N124,$B$199,N146,$B$199,N168,$B$199)</f>
        <v xml:space="preserve">
</v>
      </c>
      <c r="C210" s="25" t="str">
        <f t="shared" si="9"/>
        <v xml:space="preserve">
</v>
      </c>
      <c r="D210" s="25" t="str">
        <f t="shared" si="9"/>
        <v xml:space="preserve">
</v>
      </c>
      <c r="E210" s="25" t="str">
        <f t="shared" si="9"/>
        <v xml:space="preserve">
</v>
      </c>
      <c r="F210" s="25" t="str">
        <f t="shared" si="9"/>
        <v xml:space="preserve">
</v>
      </c>
      <c r="G210" s="25" t="str">
        <f t="shared" si="9"/>
        <v xml:space="preserve">
</v>
      </c>
      <c r="H210" s="25" t="str">
        <f t="shared" si="9"/>
        <v xml:space="preserve">
</v>
      </c>
      <c r="I210" s="25" t="str">
        <f t="shared" si="9"/>
        <v xml:space="preserve">
</v>
      </c>
      <c r="J210" s="25" t="str">
        <f t="shared" si="9"/>
        <v xml:space="preserve">
</v>
      </c>
      <c r="K210" s="25" t="str">
        <f t="shared" si="9"/>
        <v xml:space="preserve">
</v>
      </c>
    </row>
    <row r="211" spans="1:11" ht="255" x14ac:dyDescent="0.25">
      <c r="A211" s="24">
        <v>10</v>
      </c>
      <c r="B211" s="25" t="str">
        <f t="shared" ref="B211:K211" si="10">CONCATENATE(B14,$B$199,B36,$B$199,B58,$B$199,B80,$B$199,B103,$B$199,B125,$B$199,B147,$B$199,B169,$B$199,N14,$B$199,N36,$B$199,N58,$B$199,N80,$B$199,N103,$B$199,N125,$B$199,N147,$B$199,N169,$B$199)</f>
        <v xml:space="preserve">
</v>
      </c>
      <c r="C211" s="25" t="str">
        <f t="shared" si="10"/>
        <v xml:space="preserve">
</v>
      </c>
      <c r="D211" s="25" t="str">
        <f t="shared" si="10"/>
        <v xml:space="preserve">
</v>
      </c>
      <c r="E211" s="25" t="str">
        <f t="shared" si="10"/>
        <v xml:space="preserve">
</v>
      </c>
      <c r="F211" s="25" t="str">
        <f t="shared" si="10"/>
        <v xml:space="preserve">
</v>
      </c>
      <c r="G211" s="25" t="str">
        <f t="shared" si="10"/>
        <v xml:space="preserve">
</v>
      </c>
      <c r="H211" s="25" t="str">
        <f t="shared" si="10"/>
        <v xml:space="preserve">
</v>
      </c>
      <c r="I211" s="25" t="str">
        <f t="shared" si="10"/>
        <v xml:space="preserve">
</v>
      </c>
      <c r="J211" s="25" t="str">
        <f t="shared" si="10"/>
        <v xml:space="preserve">
</v>
      </c>
      <c r="K211" s="25" t="str">
        <f t="shared" si="10"/>
        <v xml:space="preserve">
</v>
      </c>
    </row>
    <row r="212" spans="1:11" ht="255" x14ac:dyDescent="0.25">
      <c r="A212" s="24">
        <v>11</v>
      </c>
      <c r="B212" s="25" t="str">
        <f t="shared" ref="B212:K212" si="11">CONCATENATE(B15,$B$199,B37,$B$199,B59,$B$199,B81,$B$199,B104,$B$199,B126,$B$199,B148,$B$199,B170,$B$199,N15,$B$199,N37,$B$199,N59,$B$199,N81,$B$199,N104,$B$199,N126,$B$199,N148,$B$199,N170,$B$199)</f>
        <v xml:space="preserve">
</v>
      </c>
      <c r="C212" s="25" t="str">
        <f t="shared" si="11"/>
        <v xml:space="preserve">
</v>
      </c>
      <c r="D212" s="25" t="str">
        <f t="shared" si="11"/>
        <v xml:space="preserve">
</v>
      </c>
      <c r="E212" s="25" t="str">
        <f t="shared" si="11"/>
        <v xml:space="preserve">
</v>
      </c>
      <c r="F212" s="25" t="str">
        <f t="shared" si="11"/>
        <v xml:space="preserve">
</v>
      </c>
      <c r="G212" s="25" t="str">
        <f t="shared" si="11"/>
        <v xml:space="preserve">
</v>
      </c>
      <c r="H212" s="25" t="str">
        <f t="shared" si="11"/>
        <v xml:space="preserve">
</v>
      </c>
      <c r="I212" s="25" t="str">
        <f t="shared" si="11"/>
        <v xml:space="preserve">
</v>
      </c>
      <c r="J212" s="25" t="str">
        <f t="shared" si="11"/>
        <v xml:space="preserve">
</v>
      </c>
      <c r="K212" s="25" t="str">
        <f t="shared" si="11"/>
        <v xml:space="preserve">
</v>
      </c>
    </row>
    <row r="213" spans="1:11" ht="255" x14ac:dyDescent="0.25">
      <c r="A213" s="24">
        <v>12</v>
      </c>
      <c r="B213" s="25" t="str">
        <f t="shared" ref="B213:K213" si="12">CONCATENATE(B16,$B$199,B38,$B$199,B60,$B$199,B82,$B$199,B105,$B$199,B127,$B$199,B149,$B$199,B171,$B$199,N16,$B$199,N38,$B$199,N60,$B$199,N82,$B$199,N105,$B$199,N127,$B$199,N149,$B$199,N171,$B$199)</f>
        <v xml:space="preserve">
</v>
      </c>
      <c r="C213" s="25" t="str">
        <f t="shared" si="12"/>
        <v xml:space="preserve">
</v>
      </c>
      <c r="D213" s="25" t="str">
        <f t="shared" si="12"/>
        <v xml:space="preserve">
</v>
      </c>
      <c r="E213" s="25" t="str">
        <f t="shared" si="12"/>
        <v xml:space="preserve">
</v>
      </c>
      <c r="F213" s="25" t="str">
        <f t="shared" si="12"/>
        <v xml:space="preserve">
</v>
      </c>
      <c r="G213" s="25" t="str">
        <f t="shared" si="12"/>
        <v xml:space="preserve">
</v>
      </c>
      <c r="H213" s="25" t="str">
        <f t="shared" si="12"/>
        <v xml:space="preserve">
</v>
      </c>
      <c r="I213" s="25" t="str">
        <f t="shared" si="12"/>
        <v xml:space="preserve">
</v>
      </c>
      <c r="J213" s="25" t="str">
        <f t="shared" si="12"/>
        <v xml:space="preserve">
</v>
      </c>
      <c r="K213" s="25" t="str">
        <f t="shared" si="12"/>
        <v xml:space="preserve">
</v>
      </c>
    </row>
    <row r="214" spans="1:11" ht="255" x14ac:dyDescent="0.25">
      <c r="A214" s="24">
        <v>13</v>
      </c>
      <c r="B214" s="25" t="str">
        <f t="shared" ref="B214:K214" si="13">CONCATENATE(B17,$B$199,B39,$B$199,B61,$B$199,B83,$B$199,B106,$B$199,B128,$B$199,B150,$B$199,B172,$B$199,N17,$B$199,N39,$B$199,N61,$B$199,N83,$B$199,N106,$B$199,N128,$B$199,N150,$B$199,N172,$B$199)</f>
        <v xml:space="preserve">
</v>
      </c>
      <c r="C214" s="25" t="str">
        <f t="shared" si="13"/>
        <v xml:space="preserve">
</v>
      </c>
      <c r="D214" s="25" t="str">
        <f t="shared" si="13"/>
        <v xml:space="preserve">
</v>
      </c>
      <c r="E214" s="25" t="str">
        <f t="shared" si="13"/>
        <v xml:space="preserve">
</v>
      </c>
      <c r="F214" s="25" t="str">
        <f t="shared" si="13"/>
        <v xml:space="preserve">
</v>
      </c>
      <c r="G214" s="25" t="str">
        <f t="shared" si="13"/>
        <v xml:space="preserve">
</v>
      </c>
      <c r="H214" s="25" t="str">
        <f t="shared" si="13"/>
        <v xml:space="preserve">
</v>
      </c>
      <c r="I214" s="25" t="str">
        <f t="shared" si="13"/>
        <v xml:space="preserve">
</v>
      </c>
      <c r="J214" s="25" t="str">
        <f t="shared" si="13"/>
        <v xml:space="preserve">
</v>
      </c>
      <c r="K214" s="25" t="str">
        <f t="shared" si="13"/>
        <v xml:space="preserve">
</v>
      </c>
    </row>
    <row r="215" spans="1:11" ht="255" x14ac:dyDescent="0.25">
      <c r="A215" s="24">
        <v>14</v>
      </c>
      <c r="B215" s="25" t="str">
        <f t="shared" ref="B215:K215" si="14">CONCATENATE(B18,$B$199,B40,$B$199,B62,$B$199,B84,$B$199,B107,$B$199,B129,$B$199,B151,$B$199,B173,$B$199,N18,$B$199,N40,$B$199,N62,$B$199,N84,$B$199,N107,$B$199,N129,$B$199,N151,$B$199,N173,$B$199)</f>
        <v xml:space="preserve">
</v>
      </c>
      <c r="C215" s="25" t="str">
        <f t="shared" si="14"/>
        <v xml:space="preserve">
</v>
      </c>
      <c r="D215" s="25" t="str">
        <f t="shared" si="14"/>
        <v xml:space="preserve">
</v>
      </c>
      <c r="E215" s="25" t="str">
        <f t="shared" si="14"/>
        <v xml:space="preserve">
</v>
      </c>
      <c r="F215" s="25" t="str">
        <f t="shared" si="14"/>
        <v xml:space="preserve">
</v>
      </c>
      <c r="G215" s="25" t="str">
        <f t="shared" si="14"/>
        <v xml:space="preserve">
</v>
      </c>
      <c r="H215" s="25" t="str">
        <f t="shared" si="14"/>
        <v xml:space="preserve">
</v>
      </c>
      <c r="I215" s="25" t="str">
        <f t="shared" si="14"/>
        <v xml:space="preserve">
</v>
      </c>
      <c r="J215" s="25" t="str">
        <f t="shared" si="14"/>
        <v xml:space="preserve">
</v>
      </c>
      <c r="K215" s="25" t="str">
        <f t="shared" si="14"/>
        <v xml:space="preserve">
</v>
      </c>
    </row>
    <row r="216" spans="1:11" ht="255" x14ac:dyDescent="0.25">
      <c r="A216" s="24">
        <v>15</v>
      </c>
      <c r="B216" s="25" t="str">
        <f t="shared" ref="B216:K216" si="15">CONCATENATE(B19,$B$199,B41,$B$199,B63,$B$199,B85,$B$199,B108,$B$199,B130,$B$199,B152,$B$199,B174,$B$199,N19,$B$199,N41,$B$199,N63,$B$199,N85,$B$199,N108,$B$199,N130,$B$199,N152,$B$199,N174,$B$199)</f>
        <v xml:space="preserve">
</v>
      </c>
      <c r="C216" s="25" t="str">
        <f t="shared" si="15"/>
        <v xml:space="preserve">
</v>
      </c>
      <c r="D216" s="25" t="str">
        <f t="shared" si="15"/>
        <v xml:space="preserve">
</v>
      </c>
      <c r="E216" s="25" t="str">
        <f t="shared" si="15"/>
        <v xml:space="preserve">
</v>
      </c>
      <c r="F216" s="25" t="str">
        <f t="shared" si="15"/>
        <v xml:space="preserve">
</v>
      </c>
      <c r="G216" s="25" t="str">
        <f t="shared" si="15"/>
        <v xml:space="preserve">
</v>
      </c>
      <c r="H216" s="25" t="str">
        <f t="shared" si="15"/>
        <v xml:space="preserve">
</v>
      </c>
      <c r="I216" s="25" t="str">
        <f t="shared" si="15"/>
        <v xml:space="preserve">
</v>
      </c>
      <c r="J216" s="25" t="str">
        <f t="shared" si="15"/>
        <v xml:space="preserve">
</v>
      </c>
      <c r="K216" s="25" t="str">
        <f t="shared" si="15"/>
        <v xml:space="preserve">
</v>
      </c>
    </row>
    <row r="217" spans="1:11" ht="255" x14ac:dyDescent="0.25">
      <c r="A217" s="24">
        <v>16</v>
      </c>
      <c r="B217" s="25" t="str">
        <f t="shared" ref="B217:K217" si="16">CONCATENATE(B20,$B$199,B42,$B$199,B64,$B$199,B86,$B$199,B109,$B$199,B131,$B$199,B153,$B$199,B175,$B$199,N20,$B$199,N42,$B$199,N64,$B$199,N86,$B$199,N109,$B$199,N131,$B$199,N153,$B$199,N175,$B$199)</f>
        <v xml:space="preserve">
</v>
      </c>
      <c r="C217" s="25" t="str">
        <f t="shared" si="16"/>
        <v xml:space="preserve">
</v>
      </c>
      <c r="D217" s="25" t="str">
        <f t="shared" si="16"/>
        <v xml:space="preserve">
</v>
      </c>
      <c r="E217" s="25" t="str">
        <f t="shared" si="16"/>
        <v xml:space="preserve">
</v>
      </c>
      <c r="F217" s="25" t="str">
        <f t="shared" si="16"/>
        <v xml:space="preserve">
</v>
      </c>
      <c r="G217" s="25" t="str">
        <f t="shared" si="16"/>
        <v xml:space="preserve">
</v>
      </c>
      <c r="H217" s="25" t="str">
        <f t="shared" si="16"/>
        <v xml:space="preserve">
</v>
      </c>
      <c r="I217" s="25" t="str">
        <f t="shared" si="16"/>
        <v xml:space="preserve">
</v>
      </c>
      <c r="J217" s="25" t="str">
        <f t="shared" si="16"/>
        <v xml:space="preserve">
</v>
      </c>
      <c r="K217" s="25" t="str">
        <f t="shared" si="16"/>
        <v xml:space="preserve">
</v>
      </c>
    </row>
    <row r="218" spans="1:11" ht="255" x14ac:dyDescent="0.25">
      <c r="A218" s="24">
        <v>17</v>
      </c>
      <c r="B218" s="25" t="str">
        <f t="shared" ref="B218:K218" si="17">CONCATENATE(B21,$B$199,B43,$B$199,B65,$B$199,B87,$B$199,B110,$B$199,B132,$B$199,B154,$B$199,B176,$B$199,N21,$B$199,N43,$B$199,N65,$B$199,N87,$B$199,N110,$B$199,N132,$B$199,N154,$B$199,N176,$B$199)</f>
        <v xml:space="preserve">
</v>
      </c>
      <c r="C218" s="25" t="str">
        <f t="shared" si="17"/>
        <v xml:space="preserve">
</v>
      </c>
      <c r="D218" s="25" t="str">
        <f t="shared" si="17"/>
        <v xml:space="preserve">
</v>
      </c>
      <c r="E218" s="25" t="str">
        <f t="shared" si="17"/>
        <v xml:space="preserve">
</v>
      </c>
      <c r="F218" s="25" t="str">
        <f t="shared" si="17"/>
        <v xml:space="preserve">
</v>
      </c>
      <c r="G218" s="25" t="str">
        <f t="shared" si="17"/>
        <v xml:space="preserve">
</v>
      </c>
      <c r="H218" s="25" t="str">
        <f t="shared" si="17"/>
        <v xml:space="preserve">
</v>
      </c>
      <c r="I218" s="25" t="str">
        <f t="shared" si="17"/>
        <v xml:space="preserve">
</v>
      </c>
      <c r="J218" s="25" t="str">
        <f t="shared" si="17"/>
        <v xml:space="preserve">
</v>
      </c>
      <c r="K218" s="25" t="str">
        <f t="shared" si="17"/>
        <v xml:space="preserve">
</v>
      </c>
    </row>
    <row r="219" spans="1:11" ht="255" x14ac:dyDescent="0.25">
      <c r="A219" s="24">
        <v>18</v>
      </c>
      <c r="B219" s="25" t="str">
        <f t="shared" ref="B219:K219" si="18">CONCATENATE(B22,$B$199,B44,$B$199,B66,$B$199,B88,$B$199,B111,$B$199,B133,$B$199,B155,$B$199,B177,$B$199,N22,$B$199,N44,$B$199,N66,$B$199,N88,$B$199,N111,$B$199,N133,$B$199,N155,$B$199,N177,$B$199)</f>
        <v xml:space="preserve">
</v>
      </c>
      <c r="C219" s="25" t="str">
        <f t="shared" si="18"/>
        <v xml:space="preserve">
</v>
      </c>
      <c r="D219" s="25" t="str">
        <f t="shared" si="18"/>
        <v xml:space="preserve">
</v>
      </c>
      <c r="E219" s="25" t="str">
        <f t="shared" si="18"/>
        <v xml:space="preserve">
</v>
      </c>
      <c r="F219" s="25" t="str">
        <f t="shared" si="18"/>
        <v xml:space="preserve">
</v>
      </c>
      <c r="G219" s="25" t="str">
        <f t="shared" si="18"/>
        <v xml:space="preserve">
</v>
      </c>
      <c r="H219" s="25" t="str">
        <f t="shared" si="18"/>
        <v xml:space="preserve">
</v>
      </c>
      <c r="I219" s="25" t="str">
        <f t="shared" si="18"/>
        <v xml:space="preserve">
</v>
      </c>
      <c r="J219" s="25" t="str">
        <f t="shared" si="18"/>
        <v xml:space="preserve">
</v>
      </c>
      <c r="K219" s="25" t="str">
        <f t="shared" si="18"/>
        <v xml:space="preserve">
</v>
      </c>
    </row>
  </sheetData>
  <pageMargins left="0.7" right="0.7" top="0.75" bottom="0.75" header="0.3" footer="0.3"/>
  <pageSetup paperSize="9" scale="37"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I153"/>
  <sheetViews>
    <sheetView zoomScale="40" zoomScaleNormal="40" workbookViewId="0">
      <selection activeCell="N136" sqref="N136:U151"/>
    </sheetView>
  </sheetViews>
  <sheetFormatPr defaultRowHeight="15" x14ac:dyDescent="0.25"/>
  <cols>
    <col min="1" max="1" width="13.140625" customWidth="1"/>
    <col min="2" max="2" width="35.85546875" bestFit="1" customWidth="1"/>
    <col min="3" max="3" width="43.5703125" bestFit="1" customWidth="1"/>
    <col min="4" max="4" width="37.28515625" bestFit="1" customWidth="1"/>
    <col min="5" max="5" width="42.5703125" bestFit="1" customWidth="1"/>
    <col min="6" max="6" width="35.7109375" bestFit="1" customWidth="1"/>
    <col min="7" max="7" width="45" bestFit="1" customWidth="1"/>
    <col min="8" max="8" width="38.7109375" bestFit="1" customWidth="1"/>
    <col min="9" max="9" width="46.5703125" bestFit="1" customWidth="1"/>
    <col min="10" max="10" width="2" bestFit="1" customWidth="1"/>
    <col min="11" max="11" width="3" bestFit="1" customWidth="1"/>
    <col min="13" max="13" width="13.28515625" bestFit="1" customWidth="1"/>
    <col min="14" max="14" width="41.42578125" bestFit="1" customWidth="1"/>
    <col min="15" max="15" width="47.140625" bestFit="1" customWidth="1"/>
    <col min="16" max="16" width="41.85546875" bestFit="1" customWidth="1"/>
    <col min="17" max="17" width="44" bestFit="1" customWidth="1"/>
    <col min="18" max="18" width="42.7109375" bestFit="1" customWidth="1"/>
    <col min="19" max="19" width="43" bestFit="1" customWidth="1"/>
    <col min="20" max="20" width="42.28515625" bestFit="1" customWidth="1"/>
    <col min="21" max="21" width="40.28515625" bestFit="1" customWidth="1"/>
    <col min="22" max="22" width="2" bestFit="1" customWidth="1"/>
    <col min="23" max="23" width="3" bestFit="1" customWidth="1"/>
    <col min="25" max="25" width="12" customWidth="1"/>
    <col min="26" max="26" width="46.28515625" bestFit="1" customWidth="1"/>
    <col min="27" max="27" width="49.5703125" bestFit="1" customWidth="1"/>
    <col min="28" max="28" width="31.42578125" bestFit="1" customWidth="1"/>
    <col min="29" max="29" width="48.5703125" bestFit="1" customWidth="1"/>
    <col min="30" max="30" width="46.28515625" bestFit="1" customWidth="1"/>
    <col min="31" max="31" width="36.140625" bestFit="1" customWidth="1"/>
    <col min="32" max="32" width="43.5703125" bestFit="1" customWidth="1"/>
    <col min="33" max="33" width="40.28515625" bestFit="1" customWidth="1"/>
    <col min="34" max="34" width="2.28515625" bestFit="1" customWidth="1"/>
    <col min="35" max="35" width="20.7109375" bestFit="1" customWidth="1"/>
  </cols>
  <sheetData>
    <row r="1" spans="1:35" ht="91.9" customHeight="1" x14ac:dyDescent="0.65">
      <c r="B1" s="141" t="s">
        <v>288</v>
      </c>
      <c r="C1" s="141"/>
      <c r="D1" s="141"/>
      <c r="E1" s="141"/>
      <c r="F1" s="141"/>
      <c r="N1" s="141" t="s">
        <v>289</v>
      </c>
      <c r="O1" s="141"/>
      <c r="P1" s="141"/>
      <c r="Q1" s="141"/>
      <c r="R1" s="141"/>
      <c r="Z1" s="141" t="s">
        <v>290</v>
      </c>
      <c r="AA1" s="141"/>
      <c r="AB1" s="141"/>
      <c r="AC1" s="141"/>
      <c r="AD1" s="141"/>
    </row>
    <row r="2" spans="1:35" ht="57" x14ac:dyDescent="0.45">
      <c r="A2" s="104" t="s">
        <v>274</v>
      </c>
      <c r="B2" s="22" t="s">
        <v>1</v>
      </c>
      <c r="C2" s="22"/>
      <c r="D2" s="22"/>
      <c r="E2" s="22"/>
      <c r="F2" s="22"/>
      <c r="G2" s="22"/>
      <c r="H2" s="22"/>
      <c r="I2" s="22"/>
      <c r="J2" s="22"/>
      <c r="K2" s="22"/>
      <c r="M2" s="103" t="s">
        <v>274</v>
      </c>
      <c r="N2" s="22" t="s">
        <v>1</v>
      </c>
      <c r="O2" s="22"/>
      <c r="P2" s="22"/>
      <c r="Q2" s="22"/>
      <c r="R2" s="22"/>
      <c r="S2" s="22"/>
      <c r="T2" s="22"/>
      <c r="U2" s="22"/>
      <c r="V2" s="22"/>
      <c r="W2" s="22"/>
      <c r="Y2" s="103" t="s">
        <v>4</v>
      </c>
      <c r="Z2" s="22" t="s">
        <v>1</v>
      </c>
      <c r="AA2" s="22"/>
      <c r="AB2" s="22"/>
      <c r="AC2" s="22"/>
      <c r="AD2" s="22"/>
      <c r="AE2" s="22"/>
      <c r="AF2" s="22"/>
      <c r="AG2" s="22"/>
      <c r="AH2" s="22"/>
      <c r="AI2" s="22"/>
    </row>
    <row r="3" spans="1:35" ht="30" x14ac:dyDescent="0.25">
      <c r="A3" s="22" t="s">
        <v>2</v>
      </c>
      <c r="B3" s="26">
        <v>1</v>
      </c>
      <c r="C3" s="26">
        <v>2</v>
      </c>
      <c r="D3" s="26">
        <v>3</v>
      </c>
      <c r="E3" s="26">
        <v>4</v>
      </c>
      <c r="F3" s="26">
        <v>5</v>
      </c>
      <c r="G3" s="26">
        <v>6</v>
      </c>
      <c r="H3" s="26">
        <v>7</v>
      </c>
      <c r="I3" s="26">
        <v>8</v>
      </c>
      <c r="J3" s="26">
        <v>9</v>
      </c>
      <c r="K3" s="26">
        <v>10</v>
      </c>
      <c r="M3" s="22" t="s">
        <v>2</v>
      </c>
      <c r="N3" s="26">
        <v>1</v>
      </c>
      <c r="O3" s="26">
        <v>2</v>
      </c>
      <c r="P3" s="26">
        <v>3</v>
      </c>
      <c r="Q3" s="26">
        <v>4</v>
      </c>
      <c r="R3" s="26">
        <v>5</v>
      </c>
      <c r="S3" s="26">
        <v>6</v>
      </c>
      <c r="T3" s="26">
        <v>7</v>
      </c>
      <c r="U3" s="26">
        <v>8</v>
      </c>
      <c r="V3" s="26">
        <v>9</v>
      </c>
      <c r="W3" s="26">
        <v>10</v>
      </c>
      <c r="Y3" s="22" t="s">
        <v>2</v>
      </c>
      <c r="Z3" s="26">
        <v>1</v>
      </c>
      <c r="AA3" s="26">
        <v>2</v>
      </c>
      <c r="AB3" s="26">
        <v>3</v>
      </c>
      <c r="AC3" s="26">
        <v>4</v>
      </c>
      <c r="AD3" s="26">
        <v>5</v>
      </c>
      <c r="AE3" s="26">
        <v>6</v>
      </c>
      <c r="AF3" s="26">
        <v>7</v>
      </c>
      <c r="AG3" s="26">
        <v>8</v>
      </c>
      <c r="AH3" s="26">
        <v>9</v>
      </c>
      <c r="AI3" s="26">
        <v>10</v>
      </c>
    </row>
    <row r="4" spans="1:35" ht="30" x14ac:dyDescent="0.25">
      <c r="A4" s="24">
        <v>1</v>
      </c>
      <c r="B4" s="11"/>
      <c r="C4" s="11"/>
      <c r="D4" s="11"/>
      <c r="E4" s="11"/>
      <c r="F4" s="11"/>
      <c r="G4" s="11"/>
      <c r="H4" s="11"/>
      <c r="I4" s="11"/>
      <c r="J4" s="11"/>
      <c r="K4" s="11"/>
      <c r="L4" s="25"/>
      <c r="M4" s="24"/>
      <c r="N4" s="11"/>
      <c r="O4" s="11"/>
      <c r="P4" s="11"/>
      <c r="Q4" s="11"/>
      <c r="R4" s="11"/>
      <c r="S4" s="11"/>
      <c r="T4" s="11"/>
      <c r="U4" s="11"/>
      <c r="V4" s="11"/>
      <c r="W4" s="11"/>
      <c r="X4" s="25" t="s">
        <v>268</v>
      </c>
      <c r="Y4" s="24">
        <v>1</v>
      </c>
      <c r="Z4" s="11" t="str">
        <f>CONCATENATE(B4,$L$4,N4)</f>
        <v/>
      </c>
      <c r="AA4" s="11" t="str">
        <f t="shared" ref="AA4:AA21" si="0">CONCATENATE(C4,$L$4,O4)</f>
        <v/>
      </c>
      <c r="AB4" s="11" t="str">
        <f t="shared" ref="AB4:AB21" si="1">CONCATENATE(D4,$L$4,P4)</f>
        <v/>
      </c>
      <c r="AC4" s="11" t="str">
        <f t="shared" ref="AC4:AC21" si="2">CONCATENATE(E4,$L$4,Q4)</f>
        <v/>
      </c>
      <c r="AD4" s="11" t="str">
        <f t="shared" ref="AD4:AD21" si="3">CONCATENATE(F4,$L$4,R4)</f>
        <v/>
      </c>
      <c r="AE4" s="11" t="str">
        <f t="shared" ref="AE4:AE21" si="4">CONCATENATE(G4,$L$4,S4)</f>
        <v/>
      </c>
      <c r="AF4" s="11" t="str">
        <f t="shared" ref="AF4:AF21" si="5">CONCATENATE(H4,$L$4,T4)</f>
        <v/>
      </c>
      <c r="AG4" s="11" t="str">
        <f t="shared" ref="AG4:AG21" si="6">CONCATENATE(I4,$L$4,U4)</f>
        <v/>
      </c>
      <c r="AH4" s="11" t="str">
        <f t="shared" ref="AH4:AH21" si="7">CONCATENATE(J4,$L$4,V4)</f>
        <v/>
      </c>
      <c r="AI4" s="11" t="str">
        <f t="shared" ref="AI4:AI21" si="8">CONCATENATE(K4,$L$4,W4)</f>
        <v/>
      </c>
    </row>
    <row r="5" spans="1:35" x14ac:dyDescent="0.25">
      <c r="A5" s="24">
        <v>2</v>
      </c>
      <c r="B5" s="11"/>
      <c r="C5" s="11"/>
      <c r="D5" s="11"/>
      <c r="E5" s="11"/>
      <c r="F5" s="11"/>
      <c r="G5" s="11"/>
      <c r="H5" s="11"/>
      <c r="I5" s="11"/>
      <c r="J5" s="11"/>
      <c r="K5" s="11"/>
      <c r="M5" s="24"/>
      <c r="N5" s="11"/>
      <c r="O5" s="11"/>
      <c r="P5" s="11"/>
      <c r="Q5" s="11"/>
      <c r="R5" s="11"/>
      <c r="S5" s="11"/>
      <c r="T5" s="11"/>
      <c r="U5" s="11"/>
      <c r="V5" s="11"/>
      <c r="W5" s="11"/>
      <c r="Y5" s="24">
        <v>2</v>
      </c>
      <c r="Z5" s="11" t="str">
        <f t="shared" ref="Z5:Z21" si="9">CONCATENATE(B5,$L$4,N5)</f>
        <v/>
      </c>
      <c r="AA5" s="11" t="str">
        <f t="shared" si="0"/>
        <v/>
      </c>
      <c r="AB5" s="11" t="str">
        <f t="shared" si="1"/>
        <v/>
      </c>
      <c r="AC5" s="11" t="str">
        <f t="shared" si="2"/>
        <v/>
      </c>
      <c r="AD5" s="11" t="str">
        <f t="shared" si="3"/>
        <v/>
      </c>
      <c r="AE5" s="11" t="str">
        <f t="shared" si="4"/>
        <v/>
      </c>
      <c r="AF5" s="11" t="str">
        <f t="shared" si="5"/>
        <v/>
      </c>
      <c r="AG5" s="11" t="str">
        <f t="shared" si="6"/>
        <v/>
      </c>
      <c r="AH5" s="11" t="str">
        <f t="shared" si="7"/>
        <v/>
      </c>
      <c r="AI5" s="11" t="str">
        <f t="shared" si="8"/>
        <v/>
      </c>
    </row>
    <row r="6" spans="1:35" x14ac:dyDescent="0.25">
      <c r="A6" s="24">
        <v>3</v>
      </c>
      <c r="B6" s="11"/>
      <c r="C6" s="11"/>
      <c r="D6" s="11"/>
      <c r="E6" s="11"/>
      <c r="F6" s="11"/>
      <c r="G6" s="11"/>
      <c r="H6" s="11"/>
      <c r="I6" s="11"/>
      <c r="J6" s="11"/>
      <c r="K6" s="11"/>
      <c r="M6" s="24"/>
      <c r="N6" s="11"/>
      <c r="O6" s="11"/>
      <c r="P6" s="11"/>
      <c r="Q6" s="11"/>
      <c r="R6" s="11"/>
      <c r="S6" s="11"/>
      <c r="T6" s="11"/>
      <c r="U6" s="11"/>
      <c r="V6" s="11"/>
      <c r="W6" s="11"/>
      <c r="Y6" s="24">
        <v>3</v>
      </c>
      <c r="Z6" s="11" t="str">
        <f t="shared" si="9"/>
        <v/>
      </c>
      <c r="AA6" s="11" t="str">
        <f t="shared" si="0"/>
        <v/>
      </c>
      <c r="AB6" s="11" t="str">
        <f t="shared" si="1"/>
        <v/>
      </c>
      <c r="AC6" s="11" t="str">
        <f t="shared" si="2"/>
        <v/>
      </c>
      <c r="AD6" s="11" t="str">
        <f t="shared" si="3"/>
        <v/>
      </c>
      <c r="AE6" s="11" t="str">
        <f t="shared" si="4"/>
        <v/>
      </c>
      <c r="AF6" s="11" t="str">
        <f t="shared" si="5"/>
        <v/>
      </c>
      <c r="AG6" s="11" t="str">
        <f t="shared" si="6"/>
        <v/>
      </c>
      <c r="AH6" s="11" t="str">
        <f t="shared" si="7"/>
        <v/>
      </c>
      <c r="AI6" s="11" t="str">
        <f t="shared" si="8"/>
        <v/>
      </c>
    </row>
    <row r="7" spans="1:35" x14ac:dyDescent="0.25">
      <c r="A7" s="24">
        <v>4</v>
      </c>
      <c r="B7" s="11"/>
      <c r="C7" s="11"/>
      <c r="D7" s="11"/>
      <c r="E7" s="11"/>
      <c r="F7" s="11"/>
      <c r="G7" s="11"/>
      <c r="H7" s="11"/>
      <c r="I7" s="11"/>
      <c r="J7" s="11"/>
      <c r="K7" s="11"/>
      <c r="M7" s="24"/>
      <c r="N7" s="11"/>
      <c r="O7" s="11"/>
      <c r="P7" s="11"/>
      <c r="Q7" s="11"/>
      <c r="R7" s="11"/>
      <c r="S7" s="11"/>
      <c r="T7" s="11"/>
      <c r="U7" s="11"/>
      <c r="V7" s="11"/>
      <c r="W7" s="11"/>
      <c r="Y7" s="24">
        <v>4</v>
      </c>
      <c r="Z7" s="11" t="str">
        <f t="shared" si="9"/>
        <v/>
      </c>
      <c r="AA7" s="11" t="str">
        <f t="shared" si="0"/>
        <v/>
      </c>
      <c r="AB7" s="11" t="str">
        <f t="shared" si="1"/>
        <v/>
      </c>
      <c r="AC7" s="11" t="str">
        <f t="shared" si="2"/>
        <v/>
      </c>
      <c r="AD7" s="11" t="str">
        <f t="shared" si="3"/>
        <v/>
      </c>
      <c r="AE7" s="11" t="str">
        <f t="shared" si="4"/>
        <v/>
      </c>
      <c r="AF7" s="11" t="str">
        <f t="shared" si="5"/>
        <v/>
      </c>
      <c r="AG7" s="11" t="str">
        <f t="shared" si="6"/>
        <v/>
      </c>
      <c r="AH7" s="11" t="str">
        <f t="shared" si="7"/>
        <v/>
      </c>
      <c r="AI7" s="11" t="str">
        <f t="shared" si="8"/>
        <v/>
      </c>
    </row>
    <row r="8" spans="1:35" x14ac:dyDescent="0.25">
      <c r="A8" s="24">
        <v>5</v>
      </c>
      <c r="B8" s="11"/>
      <c r="C8" s="11"/>
      <c r="D8" s="11"/>
      <c r="E8" s="11"/>
      <c r="F8" s="11"/>
      <c r="G8" s="11"/>
      <c r="H8" s="11"/>
      <c r="I8" s="11"/>
      <c r="J8" s="11"/>
      <c r="K8" s="11"/>
      <c r="M8" s="24"/>
      <c r="N8" s="11"/>
      <c r="O8" s="11"/>
      <c r="P8" s="11"/>
      <c r="Q8" s="11"/>
      <c r="R8" s="11"/>
      <c r="S8" s="11"/>
      <c r="T8" s="11"/>
      <c r="U8" s="11"/>
      <c r="V8" s="11"/>
      <c r="W8" s="11"/>
      <c r="Y8" s="24">
        <v>5</v>
      </c>
      <c r="Z8" s="11" t="str">
        <f t="shared" si="9"/>
        <v/>
      </c>
      <c r="AA8" s="11" t="str">
        <f t="shared" si="0"/>
        <v/>
      </c>
      <c r="AB8" s="11" t="str">
        <f t="shared" si="1"/>
        <v/>
      </c>
      <c r="AC8" s="11" t="str">
        <f t="shared" si="2"/>
        <v/>
      </c>
      <c r="AD8" s="11" t="str">
        <f t="shared" si="3"/>
        <v/>
      </c>
      <c r="AE8" s="11" t="str">
        <f t="shared" si="4"/>
        <v/>
      </c>
      <c r="AF8" s="11" t="str">
        <f t="shared" si="5"/>
        <v/>
      </c>
      <c r="AG8" s="11" t="str">
        <f t="shared" si="6"/>
        <v/>
      </c>
      <c r="AH8" s="11" t="str">
        <f t="shared" si="7"/>
        <v/>
      </c>
      <c r="AI8" s="11" t="str">
        <f t="shared" si="8"/>
        <v/>
      </c>
    </row>
    <row r="9" spans="1:35" x14ac:dyDescent="0.25">
      <c r="A9" s="24">
        <v>6</v>
      </c>
      <c r="B9" s="11"/>
      <c r="C9" s="11"/>
      <c r="D9" s="11"/>
      <c r="E9" s="11"/>
      <c r="F9" s="11"/>
      <c r="G9" s="11"/>
      <c r="H9" s="11"/>
      <c r="I9" s="11"/>
      <c r="J9" s="11"/>
      <c r="K9" s="11"/>
      <c r="M9" s="24"/>
      <c r="N9" s="11"/>
      <c r="O9" s="11"/>
      <c r="P9" s="11"/>
      <c r="Q9" s="11"/>
      <c r="R9" s="11"/>
      <c r="S9" s="11"/>
      <c r="T9" s="11"/>
      <c r="U9" s="11"/>
      <c r="V9" s="11"/>
      <c r="W9" s="11"/>
      <c r="Y9" s="24">
        <v>6</v>
      </c>
      <c r="Z9" s="11" t="str">
        <f t="shared" si="9"/>
        <v/>
      </c>
      <c r="AA9" s="11" t="str">
        <f t="shared" si="0"/>
        <v/>
      </c>
      <c r="AB9" s="11" t="str">
        <f t="shared" si="1"/>
        <v/>
      </c>
      <c r="AC9" s="11" t="str">
        <f t="shared" si="2"/>
        <v/>
      </c>
      <c r="AD9" s="11" t="str">
        <f t="shared" si="3"/>
        <v/>
      </c>
      <c r="AE9" s="11" t="str">
        <f t="shared" si="4"/>
        <v/>
      </c>
      <c r="AF9" s="11" t="str">
        <f t="shared" si="5"/>
        <v/>
      </c>
      <c r="AG9" s="11" t="str">
        <f t="shared" si="6"/>
        <v/>
      </c>
      <c r="AH9" s="11" t="str">
        <f t="shared" si="7"/>
        <v/>
      </c>
      <c r="AI9" s="11" t="str">
        <f t="shared" si="8"/>
        <v/>
      </c>
    </row>
    <row r="10" spans="1:35" x14ac:dyDescent="0.25">
      <c r="A10" s="24">
        <v>7</v>
      </c>
      <c r="B10" s="11"/>
      <c r="C10" s="11"/>
      <c r="D10" s="11"/>
      <c r="E10" s="11"/>
      <c r="F10" s="11"/>
      <c r="G10" s="11"/>
      <c r="H10" s="11"/>
      <c r="I10" s="11"/>
      <c r="J10" s="11"/>
      <c r="K10" s="11"/>
      <c r="M10" s="24"/>
      <c r="N10" s="11"/>
      <c r="O10" s="11"/>
      <c r="P10" s="11"/>
      <c r="Q10" s="11"/>
      <c r="R10" s="11"/>
      <c r="S10" s="11"/>
      <c r="T10" s="11"/>
      <c r="U10" s="11"/>
      <c r="V10" s="11"/>
      <c r="W10" s="11"/>
      <c r="Y10" s="24">
        <v>7</v>
      </c>
      <c r="Z10" s="11" t="str">
        <f t="shared" si="9"/>
        <v/>
      </c>
      <c r="AA10" s="11" t="str">
        <f t="shared" si="0"/>
        <v/>
      </c>
      <c r="AB10" s="11" t="str">
        <f t="shared" si="1"/>
        <v/>
      </c>
      <c r="AC10" s="11" t="str">
        <f t="shared" si="2"/>
        <v/>
      </c>
      <c r="AD10" s="11" t="str">
        <f t="shared" si="3"/>
        <v/>
      </c>
      <c r="AE10" s="11" t="str">
        <f t="shared" si="4"/>
        <v/>
      </c>
      <c r="AF10" s="11" t="str">
        <f t="shared" si="5"/>
        <v/>
      </c>
      <c r="AG10" s="11" t="str">
        <f t="shared" si="6"/>
        <v/>
      </c>
      <c r="AH10" s="11" t="str">
        <f t="shared" si="7"/>
        <v/>
      </c>
      <c r="AI10" s="11" t="str">
        <f t="shared" si="8"/>
        <v/>
      </c>
    </row>
    <row r="11" spans="1:35" x14ac:dyDescent="0.25">
      <c r="A11" s="24">
        <v>8</v>
      </c>
      <c r="B11" s="11"/>
      <c r="C11" s="11"/>
      <c r="D11" s="11"/>
      <c r="E11" s="11"/>
      <c r="F11" s="11"/>
      <c r="G11" s="11"/>
      <c r="H11" s="11"/>
      <c r="I11" s="11"/>
      <c r="J11" s="11"/>
      <c r="K11" s="11"/>
      <c r="M11" s="24"/>
      <c r="N11" s="11"/>
      <c r="O11" s="11"/>
      <c r="P11" s="11"/>
      <c r="Q11" s="11"/>
      <c r="R11" s="11"/>
      <c r="S11" s="11"/>
      <c r="T11" s="11"/>
      <c r="U11" s="11"/>
      <c r="V11" s="11"/>
      <c r="W11" s="11"/>
      <c r="Y11" s="24">
        <v>8</v>
      </c>
      <c r="Z11" s="11" t="str">
        <f t="shared" si="9"/>
        <v/>
      </c>
      <c r="AA11" s="11" t="str">
        <f t="shared" si="0"/>
        <v/>
      </c>
      <c r="AB11" s="11" t="str">
        <f t="shared" si="1"/>
        <v/>
      </c>
      <c r="AC11" s="11" t="str">
        <f t="shared" si="2"/>
        <v/>
      </c>
      <c r="AD11" s="11" t="str">
        <f t="shared" si="3"/>
        <v/>
      </c>
      <c r="AE11" s="11" t="str">
        <f t="shared" si="4"/>
        <v/>
      </c>
      <c r="AF11" s="11" t="str">
        <f t="shared" si="5"/>
        <v/>
      </c>
      <c r="AG11" s="11" t="str">
        <f t="shared" si="6"/>
        <v/>
      </c>
      <c r="AH11" s="11" t="str">
        <f t="shared" si="7"/>
        <v/>
      </c>
      <c r="AI11" s="11" t="str">
        <f t="shared" si="8"/>
        <v/>
      </c>
    </row>
    <row r="12" spans="1:35" x14ac:dyDescent="0.25">
      <c r="A12" s="24">
        <v>9</v>
      </c>
      <c r="B12" s="11"/>
      <c r="C12" s="11"/>
      <c r="D12" s="11"/>
      <c r="E12" s="11"/>
      <c r="F12" s="11"/>
      <c r="G12" s="11"/>
      <c r="H12" s="11"/>
      <c r="I12" s="11"/>
      <c r="J12" s="11"/>
      <c r="K12" s="11"/>
      <c r="M12" s="24"/>
      <c r="N12" s="11"/>
      <c r="O12" s="11"/>
      <c r="P12" s="11"/>
      <c r="Q12" s="11"/>
      <c r="R12" s="11"/>
      <c r="S12" s="11"/>
      <c r="T12" s="11"/>
      <c r="U12" s="11"/>
      <c r="V12" s="11"/>
      <c r="W12" s="11"/>
      <c r="Y12" s="24">
        <v>9</v>
      </c>
      <c r="Z12" s="11" t="str">
        <f t="shared" si="9"/>
        <v/>
      </c>
      <c r="AA12" s="11" t="str">
        <f t="shared" si="0"/>
        <v/>
      </c>
      <c r="AB12" s="11" t="str">
        <f t="shared" si="1"/>
        <v/>
      </c>
      <c r="AC12" s="11" t="str">
        <f t="shared" si="2"/>
        <v/>
      </c>
      <c r="AD12" s="11" t="str">
        <f t="shared" si="3"/>
        <v/>
      </c>
      <c r="AE12" s="11" t="str">
        <f t="shared" si="4"/>
        <v/>
      </c>
      <c r="AF12" s="11" t="str">
        <f t="shared" si="5"/>
        <v/>
      </c>
      <c r="AG12" s="11" t="str">
        <f t="shared" si="6"/>
        <v/>
      </c>
      <c r="AH12" s="11" t="str">
        <f t="shared" si="7"/>
        <v/>
      </c>
      <c r="AI12" s="11" t="str">
        <f t="shared" si="8"/>
        <v/>
      </c>
    </row>
    <row r="13" spans="1:35" x14ac:dyDescent="0.25">
      <c r="A13" s="24">
        <v>10</v>
      </c>
      <c r="B13" s="11"/>
      <c r="C13" s="11"/>
      <c r="D13" s="11"/>
      <c r="E13" s="11"/>
      <c r="F13" s="11"/>
      <c r="G13" s="11"/>
      <c r="H13" s="11"/>
      <c r="I13" s="11"/>
      <c r="J13" s="11"/>
      <c r="K13" s="11"/>
      <c r="M13" s="24"/>
      <c r="N13" s="11"/>
      <c r="O13" s="11"/>
      <c r="P13" s="11"/>
      <c r="Q13" s="11"/>
      <c r="R13" s="11"/>
      <c r="S13" s="11"/>
      <c r="T13" s="11"/>
      <c r="U13" s="11"/>
      <c r="V13" s="11"/>
      <c r="W13" s="11"/>
      <c r="Y13" s="24">
        <v>10</v>
      </c>
      <c r="Z13" s="11" t="str">
        <f t="shared" si="9"/>
        <v/>
      </c>
      <c r="AA13" s="11" t="str">
        <f t="shared" si="0"/>
        <v/>
      </c>
      <c r="AB13" s="11" t="str">
        <f t="shared" si="1"/>
        <v/>
      </c>
      <c r="AC13" s="11" t="str">
        <f t="shared" si="2"/>
        <v/>
      </c>
      <c r="AD13" s="11" t="str">
        <f t="shared" si="3"/>
        <v/>
      </c>
      <c r="AE13" s="11" t="str">
        <f t="shared" si="4"/>
        <v/>
      </c>
      <c r="AF13" s="11" t="str">
        <f t="shared" si="5"/>
        <v/>
      </c>
      <c r="AG13" s="11" t="str">
        <f t="shared" si="6"/>
        <v/>
      </c>
      <c r="AH13" s="11" t="str">
        <f t="shared" si="7"/>
        <v/>
      </c>
      <c r="AI13" s="11" t="str">
        <f t="shared" si="8"/>
        <v/>
      </c>
    </row>
    <row r="14" spans="1:35" x14ac:dyDescent="0.25">
      <c r="A14" s="24">
        <v>11</v>
      </c>
      <c r="B14" s="11"/>
      <c r="C14" s="11"/>
      <c r="D14" s="11"/>
      <c r="E14" s="11"/>
      <c r="F14" s="11"/>
      <c r="G14" s="11"/>
      <c r="H14" s="11"/>
      <c r="I14" s="11"/>
      <c r="J14" s="11"/>
      <c r="K14" s="11"/>
      <c r="M14" s="24"/>
      <c r="N14" s="11"/>
      <c r="O14" s="11"/>
      <c r="P14" s="11"/>
      <c r="Q14" s="11"/>
      <c r="R14" s="11"/>
      <c r="S14" s="11"/>
      <c r="T14" s="11"/>
      <c r="U14" s="11"/>
      <c r="V14" s="11"/>
      <c r="W14" s="11"/>
      <c r="Y14" s="24">
        <v>11</v>
      </c>
      <c r="Z14" s="11" t="str">
        <f t="shared" si="9"/>
        <v/>
      </c>
      <c r="AA14" s="11" t="str">
        <f t="shared" si="0"/>
        <v/>
      </c>
      <c r="AB14" s="11" t="str">
        <f t="shared" si="1"/>
        <v/>
      </c>
      <c r="AC14" s="11" t="str">
        <f t="shared" si="2"/>
        <v/>
      </c>
      <c r="AD14" s="11" t="str">
        <f t="shared" si="3"/>
        <v/>
      </c>
      <c r="AE14" s="11" t="str">
        <f t="shared" si="4"/>
        <v/>
      </c>
      <c r="AF14" s="11" t="str">
        <f t="shared" si="5"/>
        <v/>
      </c>
      <c r="AG14" s="11" t="str">
        <f t="shared" si="6"/>
        <v/>
      </c>
      <c r="AH14" s="11" t="str">
        <f t="shared" si="7"/>
        <v/>
      </c>
      <c r="AI14" s="11" t="str">
        <f t="shared" si="8"/>
        <v/>
      </c>
    </row>
    <row r="15" spans="1:35" x14ac:dyDescent="0.25">
      <c r="A15" s="24">
        <v>12</v>
      </c>
      <c r="B15" s="11"/>
      <c r="C15" s="11"/>
      <c r="D15" s="11"/>
      <c r="E15" s="11"/>
      <c r="F15" s="11"/>
      <c r="G15" s="11"/>
      <c r="H15" s="11"/>
      <c r="I15" s="11"/>
      <c r="J15" s="11"/>
      <c r="K15" s="11"/>
      <c r="M15" s="24"/>
      <c r="N15" s="11"/>
      <c r="O15" s="11"/>
      <c r="P15" s="11"/>
      <c r="Q15" s="11"/>
      <c r="R15" s="11"/>
      <c r="S15" s="11"/>
      <c r="T15" s="11"/>
      <c r="U15" s="11"/>
      <c r="V15" s="11"/>
      <c r="W15" s="11"/>
      <c r="Y15" s="24">
        <v>12</v>
      </c>
      <c r="Z15" s="11" t="str">
        <f t="shared" si="9"/>
        <v/>
      </c>
      <c r="AA15" s="11" t="str">
        <f t="shared" si="0"/>
        <v/>
      </c>
      <c r="AB15" s="11" t="str">
        <f t="shared" si="1"/>
        <v/>
      </c>
      <c r="AC15" s="11" t="str">
        <f t="shared" si="2"/>
        <v/>
      </c>
      <c r="AD15" s="11" t="str">
        <f t="shared" si="3"/>
        <v/>
      </c>
      <c r="AE15" s="11" t="str">
        <f t="shared" si="4"/>
        <v/>
      </c>
      <c r="AF15" s="11" t="str">
        <f t="shared" si="5"/>
        <v/>
      </c>
      <c r="AG15" s="11" t="str">
        <f t="shared" si="6"/>
        <v/>
      </c>
      <c r="AH15" s="11" t="str">
        <f t="shared" si="7"/>
        <v/>
      </c>
      <c r="AI15" s="11" t="str">
        <f t="shared" si="8"/>
        <v/>
      </c>
    </row>
    <row r="16" spans="1:35" x14ac:dyDescent="0.25">
      <c r="A16" s="24">
        <v>13</v>
      </c>
      <c r="B16" s="11"/>
      <c r="C16" s="11"/>
      <c r="D16" s="11"/>
      <c r="E16" s="11"/>
      <c r="F16" s="11"/>
      <c r="G16" s="11"/>
      <c r="H16" s="11"/>
      <c r="I16" s="11"/>
      <c r="J16" s="11"/>
      <c r="K16" s="11"/>
      <c r="M16" s="24"/>
      <c r="N16" s="11"/>
      <c r="O16" s="11"/>
      <c r="P16" s="11"/>
      <c r="Q16" s="11"/>
      <c r="R16" s="11"/>
      <c r="S16" s="11"/>
      <c r="T16" s="11"/>
      <c r="U16" s="11"/>
      <c r="V16" s="11"/>
      <c r="W16" s="11"/>
      <c r="Y16" s="24">
        <v>13</v>
      </c>
      <c r="Z16" s="11" t="str">
        <f t="shared" si="9"/>
        <v/>
      </c>
      <c r="AA16" s="11" t="str">
        <f t="shared" si="0"/>
        <v/>
      </c>
      <c r="AB16" s="11" t="str">
        <f t="shared" si="1"/>
        <v/>
      </c>
      <c r="AC16" s="11" t="str">
        <f t="shared" si="2"/>
        <v/>
      </c>
      <c r="AD16" s="11" t="str">
        <f t="shared" si="3"/>
        <v/>
      </c>
      <c r="AE16" s="11" t="str">
        <f t="shared" si="4"/>
        <v/>
      </c>
      <c r="AF16" s="11" t="str">
        <f t="shared" si="5"/>
        <v/>
      </c>
      <c r="AG16" s="11" t="str">
        <f t="shared" si="6"/>
        <v/>
      </c>
      <c r="AH16" s="11" t="str">
        <f t="shared" si="7"/>
        <v/>
      </c>
      <c r="AI16" s="11" t="str">
        <f t="shared" si="8"/>
        <v/>
      </c>
    </row>
    <row r="17" spans="1:35" x14ac:dyDescent="0.25">
      <c r="A17" s="24">
        <v>14</v>
      </c>
      <c r="B17" s="11"/>
      <c r="C17" s="11"/>
      <c r="D17" s="11"/>
      <c r="E17" s="11"/>
      <c r="F17" s="11"/>
      <c r="G17" s="11"/>
      <c r="H17" s="11"/>
      <c r="I17" s="11"/>
      <c r="J17" s="11"/>
      <c r="K17" s="11"/>
      <c r="M17" s="24"/>
      <c r="N17" s="11"/>
      <c r="O17" s="11"/>
      <c r="P17" s="11"/>
      <c r="Q17" s="11"/>
      <c r="R17" s="11"/>
      <c r="S17" s="11"/>
      <c r="T17" s="11"/>
      <c r="U17" s="11"/>
      <c r="V17" s="11"/>
      <c r="W17" s="11"/>
      <c r="Y17" s="24">
        <v>14</v>
      </c>
      <c r="Z17" s="11" t="str">
        <f t="shared" si="9"/>
        <v/>
      </c>
      <c r="AA17" s="11" t="str">
        <f t="shared" si="0"/>
        <v/>
      </c>
      <c r="AB17" s="11" t="str">
        <f t="shared" si="1"/>
        <v/>
      </c>
      <c r="AC17" s="11" t="str">
        <f t="shared" si="2"/>
        <v/>
      </c>
      <c r="AD17" s="11" t="str">
        <f t="shared" si="3"/>
        <v/>
      </c>
      <c r="AE17" s="11" t="str">
        <f t="shared" si="4"/>
        <v/>
      </c>
      <c r="AF17" s="11" t="str">
        <f t="shared" si="5"/>
        <v/>
      </c>
      <c r="AG17" s="11" t="str">
        <f t="shared" si="6"/>
        <v/>
      </c>
      <c r="AH17" s="11" t="str">
        <f t="shared" si="7"/>
        <v/>
      </c>
      <c r="AI17" s="11" t="str">
        <f t="shared" si="8"/>
        <v/>
      </c>
    </row>
    <row r="18" spans="1:35" x14ac:dyDescent="0.25">
      <c r="A18" s="24">
        <v>15</v>
      </c>
      <c r="B18" s="11"/>
      <c r="C18" s="11"/>
      <c r="D18" s="11"/>
      <c r="E18" s="11"/>
      <c r="F18" s="11"/>
      <c r="G18" s="11"/>
      <c r="H18" s="11"/>
      <c r="I18" s="11"/>
      <c r="J18" s="11"/>
      <c r="K18" s="11"/>
      <c r="M18" s="24">
        <v>15</v>
      </c>
      <c r="N18" s="11"/>
      <c r="O18" s="11"/>
      <c r="P18" s="11"/>
      <c r="Q18" s="11"/>
      <c r="R18" s="11"/>
      <c r="S18" s="11"/>
      <c r="T18" s="11"/>
      <c r="U18" s="11"/>
      <c r="V18" s="11"/>
      <c r="W18" s="11"/>
      <c r="Y18" s="24">
        <v>15</v>
      </c>
      <c r="Z18" s="11" t="str">
        <f t="shared" si="9"/>
        <v/>
      </c>
      <c r="AA18" s="11" t="str">
        <f t="shared" si="0"/>
        <v/>
      </c>
      <c r="AB18" s="11" t="str">
        <f t="shared" si="1"/>
        <v/>
      </c>
      <c r="AC18" s="11" t="str">
        <f t="shared" si="2"/>
        <v/>
      </c>
      <c r="AD18" s="11" t="str">
        <f t="shared" si="3"/>
        <v/>
      </c>
      <c r="AE18" s="11" t="str">
        <f t="shared" si="4"/>
        <v/>
      </c>
      <c r="AF18" s="11" t="str">
        <f t="shared" si="5"/>
        <v/>
      </c>
      <c r="AG18" s="11" t="str">
        <f t="shared" si="6"/>
        <v/>
      </c>
      <c r="AH18" s="11" t="str">
        <f t="shared" si="7"/>
        <v/>
      </c>
      <c r="AI18" s="11" t="str">
        <f t="shared" si="8"/>
        <v/>
      </c>
    </row>
    <row r="19" spans="1:35" x14ac:dyDescent="0.25">
      <c r="A19" s="24">
        <v>16</v>
      </c>
      <c r="B19" s="11"/>
      <c r="C19" s="11"/>
      <c r="D19" s="11"/>
      <c r="E19" s="11"/>
      <c r="F19" s="11"/>
      <c r="G19" s="11"/>
      <c r="H19" s="11"/>
      <c r="I19" s="11"/>
      <c r="J19" s="11"/>
      <c r="K19" s="11"/>
      <c r="M19" s="24">
        <v>16</v>
      </c>
      <c r="N19" s="11"/>
      <c r="O19" s="11"/>
      <c r="P19" s="11"/>
      <c r="Q19" s="11"/>
      <c r="R19" s="11"/>
      <c r="S19" s="11"/>
      <c r="T19" s="11"/>
      <c r="U19" s="11"/>
      <c r="V19" s="11"/>
      <c r="W19" s="11"/>
      <c r="Y19" s="24">
        <v>16</v>
      </c>
      <c r="Z19" s="11" t="str">
        <f t="shared" si="9"/>
        <v/>
      </c>
      <c r="AA19" s="11" t="str">
        <f t="shared" si="0"/>
        <v/>
      </c>
      <c r="AB19" s="11" t="str">
        <f t="shared" si="1"/>
        <v/>
      </c>
      <c r="AC19" s="11" t="str">
        <f t="shared" si="2"/>
        <v/>
      </c>
      <c r="AD19" s="11" t="str">
        <f t="shared" si="3"/>
        <v/>
      </c>
      <c r="AE19" s="11" t="str">
        <f t="shared" si="4"/>
        <v/>
      </c>
      <c r="AF19" s="11" t="str">
        <f t="shared" si="5"/>
        <v/>
      </c>
      <c r="AG19" s="11" t="str">
        <f t="shared" si="6"/>
        <v/>
      </c>
      <c r="AH19" s="11" t="str">
        <f t="shared" si="7"/>
        <v/>
      </c>
      <c r="AI19" s="11" t="str">
        <f t="shared" si="8"/>
        <v/>
      </c>
    </row>
    <row r="20" spans="1:35" x14ac:dyDescent="0.25">
      <c r="A20" s="24">
        <v>17</v>
      </c>
      <c r="B20" s="11"/>
      <c r="C20" s="11"/>
      <c r="D20" s="11"/>
      <c r="E20" s="11"/>
      <c r="F20" s="11"/>
      <c r="G20" s="11"/>
      <c r="H20" s="11"/>
      <c r="I20" s="11"/>
      <c r="J20" s="11"/>
      <c r="K20" s="11"/>
      <c r="M20" s="24">
        <v>17</v>
      </c>
      <c r="N20" s="11"/>
      <c r="O20" s="11"/>
      <c r="P20" s="11"/>
      <c r="Q20" s="11"/>
      <c r="R20" s="11"/>
      <c r="S20" s="11"/>
      <c r="T20" s="11"/>
      <c r="U20" s="11"/>
      <c r="V20" s="11"/>
      <c r="W20" s="11"/>
      <c r="Y20" s="24">
        <v>17</v>
      </c>
      <c r="Z20" s="11" t="str">
        <f t="shared" si="9"/>
        <v/>
      </c>
      <c r="AA20" s="11" t="str">
        <f t="shared" si="0"/>
        <v/>
      </c>
      <c r="AB20" s="11" t="str">
        <f t="shared" si="1"/>
        <v/>
      </c>
      <c r="AC20" s="11" t="str">
        <f t="shared" si="2"/>
        <v/>
      </c>
      <c r="AD20" s="11" t="str">
        <f t="shared" si="3"/>
        <v/>
      </c>
      <c r="AE20" s="11" t="str">
        <f t="shared" si="4"/>
        <v/>
      </c>
      <c r="AF20" s="11" t="str">
        <f t="shared" si="5"/>
        <v/>
      </c>
      <c r="AG20" s="11" t="str">
        <f t="shared" si="6"/>
        <v/>
      </c>
      <c r="AH20" s="11" t="str">
        <f t="shared" si="7"/>
        <v/>
      </c>
      <c r="AI20" s="11" t="str">
        <f t="shared" si="8"/>
        <v/>
      </c>
    </row>
    <row r="21" spans="1:35" x14ac:dyDescent="0.25">
      <c r="A21" s="24">
        <v>18</v>
      </c>
      <c r="B21" s="11"/>
      <c r="C21" s="11"/>
      <c r="D21" s="11"/>
      <c r="E21" s="11"/>
      <c r="F21" s="11"/>
      <c r="G21" s="11"/>
      <c r="H21" s="11"/>
      <c r="I21" s="11"/>
      <c r="J21" s="11"/>
      <c r="K21" s="11"/>
      <c r="M21" s="24">
        <v>18</v>
      </c>
      <c r="N21" s="11"/>
      <c r="O21" s="11"/>
      <c r="P21" s="11"/>
      <c r="Q21" s="11"/>
      <c r="R21" s="11"/>
      <c r="S21" s="11"/>
      <c r="T21" s="11"/>
      <c r="U21" s="11"/>
      <c r="V21" s="11"/>
      <c r="W21" s="11"/>
      <c r="Y21" s="24">
        <v>18</v>
      </c>
      <c r="Z21" s="11" t="str">
        <f t="shared" si="9"/>
        <v/>
      </c>
      <c r="AA21" s="11" t="str">
        <f t="shared" si="0"/>
        <v/>
      </c>
      <c r="AB21" s="11" t="str">
        <f t="shared" si="1"/>
        <v/>
      </c>
      <c r="AC21" s="11" t="str">
        <f t="shared" si="2"/>
        <v/>
      </c>
      <c r="AD21" s="11" t="str">
        <f t="shared" si="3"/>
        <v/>
      </c>
      <c r="AE21" s="11" t="str">
        <f t="shared" si="4"/>
        <v/>
      </c>
      <c r="AF21" s="11" t="str">
        <f t="shared" si="5"/>
        <v/>
      </c>
      <c r="AG21" s="11" t="str">
        <f t="shared" si="6"/>
        <v/>
      </c>
      <c r="AH21" s="11" t="str">
        <f t="shared" si="7"/>
        <v/>
      </c>
      <c r="AI21" s="11" t="str">
        <f t="shared" si="8"/>
        <v/>
      </c>
    </row>
    <row r="24" spans="1:35" ht="57" x14ac:dyDescent="0.45">
      <c r="A24" s="104" t="s">
        <v>275</v>
      </c>
      <c r="B24" s="22" t="s">
        <v>1</v>
      </c>
      <c r="C24" s="22"/>
      <c r="D24" s="22"/>
      <c r="E24" s="22"/>
      <c r="F24" s="22"/>
      <c r="G24" s="22"/>
      <c r="H24" s="22"/>
      <c r="I24" s="22"/>
      <c r="J24" s="22"/>
      <c r="K24" s="22"/>
      <c r="M24" s="103" t="s">
        <v>276</v>
      </c>
      <c r="N24" s="22" t="s">
        <v>1</v>
      </c>
      <c r="O24" s="22"/>
      <c r="P24" s="22"/>
      <c r="Q24" s="22"/>
      <c r="R24" s="22"/>
      <c r="S24" s="22"/>
      <c r="T24" s="22"/>
      <c r="U24" s="22"/>
      <c r="V24" s="22"/>
      <c r="W24" s="22"/>
      <c r="Y24" s="103" t="s">
        <v>3</v>
      </c>
      <c r="Z24" s="22" t="s">
        <v>1</v>
      </c>
      <c r="AA24" s="22"/>
      <c r="AB24" s="22"/>
      <c r="AC24" s="22"/>
      <c r="AD24" s="22"/>
      <c r="AE24" s="22"/>
      <c r="AF24" s="22"/>
      <c r="AG24" s="22"/>
      <c r="AH24" s="22"/>
      <c r="AI24" s="22"/>
    </row>
    <row r="25" spans="1:35" ht="30" x14ac:dyDescent="0.25">
      <c r="A25" s="22" t="s">
        <v>2</v>
      </c>
      <c r="B25" s="26">
        <v>1</v>
      </c>
      <c r="C25" s="26">
        <v>2</v>
      </c>
      <c r="D25" s="26">
        <v>3</v>
      </c>
      <c r="E25" s="26">
        <v>4</v>
      </c>
      <c r="F25" s="26">
        <v>5</v>
      </c>
      <c r="G25" s="26">
        <v>6</v>
      </c>
      <c r="H25" s="26">
        <v>7</v>
      </c>
      <c r="I25" s="26">
        <v>8</v>
      </c>
      <c r="J25" s="26">
        <v>9</v>
      </c>
      <c r="K25" s="26">
        <v>10</v>
      </c>
      <c r="M25" s="22" t="s">
        <v>2</v>
      </c>
      <c r="N25" s="26">
        <v>1</v>
      </c>
      <c r="O25" s="26">
        <v>2</v>
      </c>
      <c r="P25" s="26">
        <v>3</v>
      </c>
      <c r="Q25" s="26">
        <v>4</v>
      </c>
      <c r="R25" s="26">
        <v>5</v>
      </c>
      <c r="S25" s="26">
        <v>6</v>
      </c>
      <c r="T25" s="26">
        <v>7</v>
      </c>
      <c r="U25" s="26">
        <v>8</v>
      </c>
      <c r="V25" s="26">
        <v>9</v>
      </c>
      <c r="W25" s="26">
        <v>10</v>
      </c>
      <c r="Y25" s="22" t="s">
        <v>2</v>
      </c>
      <c r="Z25" s="26">
        <v>1</v>
      </c>
      <c r="AA25" s="26">
        <v>2</v>
      </c>
      <c r="AB25" s="26">
        <v>3</v>
      </c>
      <c r="AC25" s="26">
        <v>4</v>
      </c>
      <c r="AD25" s="26">
        <v>5</v>
      </c>
      <c r="AE25" s="26">
        <v>6</v>
      </c>
      <c r="AF25" s="26">
        <v>7</v>
      </c>
      <c r="AG25" s="26">
        <v>8</v>
      </c>
      <c r="AH25" s="26">
        <v>9</v>
      </c>
      <c r="AI25" s="26">
        <v>10</v>
      </c>
    </row>
    <row r="26" spans="1:35" x14ac:dyDescent="0.25">
      <c r="A26" s="24">
        <v>1</v>
      </c>
      <c r="B26" s="11"/>
      <c r="C26" s="11"/>
      <c r="D26" s="11"/>
      <c r="E26" s="11"/>
      <c r="F26" s="11"/>
      <c r="G26" s="11"/>
      <c r="H26" s="11"/>
      <c r="I26" s="11"/>
      <c r="J26" s="11"/>
      <c r="K26" s="11"/>
      <c r="M26" s="24">
        <v>1</v>
      </c>
      <c r="N26" s="11"/>
      <c r="O26" s="11"/>
      <c r="P26" s="11"/>
      <c r="Q26" s="11"/>
      <c r="R26" s="11"/>
      <c r="S26" s="11"/>
      <c r="T26" s="11"/>
      <c r="U26" s="11"/>
      <c r="V26" s="11"/>
      <c r="W26" s="11"/>
      <c r="Y26" s="24">
        <v>1</v>
      </c>
      <c r="Z26" s="11" t="str">
        <f>CONCATENATE(B26,$L$4,N26)</f>
        <v/>
      </c>
      <c r="AA26" s="11" t="str">
        <f t="shared" ref="AA26:AA43" si="10">CONCATENATE(C26,$L$4,O26)</f>
        <v/>
      </c>
      <c r="AB26" s="11" t="str">
        <f t="shared" ref="AB26:AB43" si="11">CONCATENATE(D26,$L$4,P26)</f>
        <v/>
      </c>
      <c r="AC26" s="11" t="str">
        <f t="shared" ref="AC26:AC43" si="12">CONCATENATE(E26,$L$4,Q26)</f>
        <v/>
      </c>
      <c r="AD26" s="11" t="str">
        <f t="shared" ref="AD26:AD43" si="13">CONCATENATE(F26,$L$4,R26)</f>
        <v/>
      </c>
      <c r="AE26" s="11" t="str">
        <f t="shared" ref="AE26:AE43" si="14">CONCATENATE(G26,$L$4,S26)</f>
        <v/>
      </c>
      <c r="AF26" s="11" t="str">
        <f t="shared" ref="AF26:AF43" si="15">CONCATENATE(H26,$L$4,T26)</f>
        <v/>
      </c>
      <c r="AG26" s="11" t="str">
        <f t="shared" ref="AG26:AG43" si="16">CONCATENATE(I26,$L$4,U26)</f>
        <v/>
      </c>
      <c r="AH26" s="11"/>
      <c r="AI26" s="11"/>
    </row>
    <row r="27" spans="1:35" x14ac:dyDescent="0.25">
      <c r="A27" s="24">
        <v>2</v>
      </c>
      <c r="B27" s="11"/>
      <c r="C27" s="11"/>
      <c r="D27" s="11"/>
      <c r="E27" s="11"/>
      <c r="F27" s="11"/>
      <c r="G27" s="11"/>
      <c r="H27" s="11"/>
      <c r="I27" s="11"/>
      <c r="J27" s="11"/>
      <c r="K27" s="11"/>
      <c r="M27" s="24">
        <v>2</v>
      </c>
      <c r="N27" s="11"/>
      <c r="O27" s="11"/>
      <c r="P27" s="11"/>
      <c r="Q27" s="11"/>
      <c r="R27" s="11"/>
      <c r="S27" s="11"/>
      <c r="T27" s="11"/>
      <c r="U27" s="11"/>
      <c r="V27" s="11"/>
      <c r="W27" s="11"/>
      <c r="Y27" s="24">
        <v>2</v>
      </c>
      <c r="Z27" s="11" t="str">
        <f t="shared" ref="Z27:Z43" si="17">CONCATENATE(B27,$L$4,N27)</f>
        <v/>
      </c>
      <c r="AA27" s="11" t="str">
        <f t="shared" si="10"/>
        <v/>
      </c>
      <c r="AB27" s="11" t="str">
        <f t="shared" si="11"/>
        <v/>
      </c>
      <c r="AC27" s="11" t="str">
        <f t="shared" si="12"/>
        <v/>
      </c>
      <c r="AD27" s="11" t="str">
        <f t="shared" si="13"/>
        <v/>
      </c>
      <c r="AE27" s="11" t="str">
        <f t="shared" si="14"/>
        <v/>
      </c>
      <c r="AF27" s="11" t="str">
        <f t="shared" si="15"/>
        <v/>
      </c>
      <c r="AG27" s="11" t="str">
        <f t="shared" si="16"/>
        <v/>
      </c>
      <c r="AH27" s="11"/>
      <c r="AI27" s="11"/>
    </row>
    <row r="28" spans="1:35" x14ac:dyDescent="0.25">
      <c r="A28" s="24">
        <v>3</v>
      </c>
      <c r="B28" s="11"/>
      <c r="C28" s="11"/>
      <c r="D28" s="11"/>
      <c r="E28" s="11"/>
      <c r="F28" s="11"/>
      <c r="G28" s="11"/>
      <c r="H28" s="11"/>
      <c r="I28" s="11"/>
      <c r="J28" s="11"/>
      <c r="K28" s="11"/>
      <c r="M28" s="24">
        <v>3</v>
      </c>
      <c r="N28" s="11"/>
      <c r="O28" s="11"/>
      <c r="P28" s="11"/>
      <c r="Q28" s="11"/>
      <c r="R28" s="11"/>
      <c r="S28" s="11"/>
      <c r="T28" s="11"/>
      <c r="U28" s="11"/>
      <c r="V28" s="11"/>
      <c r="W28" s="11"/>
      <c r="Y28" s="24">
        <v>3</v>
      </c>
      <c r="Z28" s="11" t="str">
        <f t="shared" si="17"/>
        <v/>
      </c>
      <c r="AA28" s="11" t="str">
        <f t="shared" si="10"/>
        <v/>
      </c>
      <c r="AB28" s="11" t="str">
        <f t="shared" si="11"/>
        <v/>
      </c>
      <c r="AC28" s="11" t="str">
        <f t="shared" si="12"/>
        <v/>
      </c>
      <c r="AD28" s="11" t="str">
        <f t="shared" si="13"/>
        <v/>
      </c>
      <c r="AE28" s="11" t="str">
        <f t="shared" si="14"/>
        <v/>
      </c>
      <c r="AF28" s="11" t="str">
        <f t="shared" si="15"/>
        <v/>
      </c>
      <c r="AG28" s="11" t="str">
        <f t="shared" si="16"/>
        <v/>
      </c>
      <c r="AH28" s="11"/>
      <c r="AI28" s="11"/>
    </row>
    <row r="29" spans="1:35" x14ac:dyDescent="0.25">
      <c r="A29" s="24">
        <v>4</v>
      </c>
      <c r="B29" s="11"/>
      <c r="C29" s="11"/>
      <c r="D29" s="11"/>
      <c r="E29" s="11"/>
      <c r="F29" s="11"/>
      <c r="G29" s="11"/>
      <c r="H29" s="11"/>
      <c r="I29" s="11"/>
      <c r="J29" s="11"/>
      <c r="K29" s="11"/>
      <c r="M29" s="24">
        <v>4</v>
      </c>
      <c r="N29" s="11"/>
      <c r="O29" s="11"/>
      <c r="P29" s="11"/>
      <c r="Q29" s="11"/>
      <c r="R29" s="11"/>
      <c r="S29" s="11"/>
      <c r="T29" s="11"/>
      <c r="U29" s="11"/>
      <c r="V29" s="11"/>
      <c r="W29" s="11"/>
      <c r="Y29" s="24">
        <v>4</v>
      </c>
      <c r="Z29" s="11" t="str">
        <f t="shared" si="17"/>
        <v/>
      </c>
      <c r="AA29" s="11" t="str">
        <f t="shared" si="10"/>
        <v/>
      </c>
      <c r="AB29" s="11" t="str">
        <f t="shared" si="11"/>
        <v/>
      </c>
      <c r="AC29" s="11" t="str">
        <f t="shared" si="12"/>
        <v/>
      </c>
      <c r="AD29" s="11" t="str">
        <f t="shared" si="13"/>
        <v/>
      </c>
      <c r="AE29" s="11" t="str">
        <f t="shared" si="14"/>
        <v/>
      </c>
      <c r="AF29" s="11" t="str">
        <f t="shared" si="15"/>
        <v/>
      </c>
      <c r="AG29" s="11" t="str">
        <f t="shared" si="16"/>
        <v/>
      </c>
      <c r="AH29" s="11"/>
      <c r="AI29" s="11"/>
    </row>
    <row r="30" spans="1:35" x14ac:dyDescent="0.25">
      <c r="A30" s="24">
        <v>5</v>
      </c>
      <c r="B30" s="11"/>
      <c r="C30" s="11"/>
      <c r="D30" s="11"/>
      <c r="E30" s="11"/>
      <c r="F30" s="11"/>
      <c r="G30" s="11"/>
      <c r="H30" s="11"/>
      <c r="I30" s="11"/>
      <c r="J30" s="11"/>
      <c r="K30" s="11"/>
      <c r="M30" s="24">
        <v>5</v>
      </c>
      <c r="N30" s="11"/>
      <c r="O30" s="11"/>
      <c r="P30" s="11"/>
      <c r="Q30" s="11"/>
      <c r="R30" s="11"/>
      <c r="S30" s="11"/>
      <c r="T30" s="11"/>
      <c r="U30" s="11"/>
      <c r="V30" s="11"/>
      <c r="W30" s="11"/>
      <c r="Y30" s="24">
        <v>5</v>
      </c>
      <c r="Z30" s="11" t="str">
        <f t="shared" si="17"/>
        <v/>
      </c>
      <c r="AA30" s="11" t="str">
        <f t="shared" si="10"/>
        <v/>
      </c>
      <c r="AB30" s="11" t="str">
        <f t="shared" si="11"/>
        <v/>
      </c>
      <c r="AC30" s="11" t="str">
        <f t="shared" si="12"/>
        <v/>
      </c>
      <c r="AD30" s="11" t="str">
        <f t="shared" si="13"/>
        <v/>
      </c>
      <c r="AE30" s="11" t="str">
        <f t="shared" si="14"/>
        <v/>
      </c>
      <c r="AF30" s="11" t="str">
        <f t="shared" si="15"/>
        <v/>
      </c>
      <c r="AG30" s="11" t="str">
        <f t="shared" si="16"/>
        <v/>
      </c>
      <c r="AH30" s="11"/>
      <c r="AI30" s="11"/>
    </row>
    <row r="31" spans="1:35" x14ac:dyDescent="0.25">
      <c r="A31" s="24">
        <v>6</v>
      </c>
      <c r="B31" s="11"/>
      <c r="C31" s="11"/>
      <c r="D31" s="11"/>
      <c r="E31" s="11"/>
      <c r="F31" s="11"/>
      <c r="G31" s="11"/>
      <c r="H31" s="11"/>
      <c r="I31" s="11"/>
      <c r="J31" s="11"/>
      <c r="K31" s="11"/>
      <c r="M31" s="24">
        <v>6</v>
      </c>
      <c r="N31" s="11"/>
      <c r="O31" s="11"/>
      <c r="P31" s="11"/>
      <c r="Q31" s="11"/>
      <c r="R31" s="11"/>
      <c r="S31" s="11"/>
      <c r="T31" s="11"/>
      <c r="U31" s="11"/>
      <c r="V31" s="11"/>
      <c r="W31" s="11"/>
      <c r="Y31" s="24">
        <v>6</v>
      </c>
      <c r="Z31" s="11" t="str">
        <f t="shared" si="17"/>
        <v/>
      </c>
      <c r="AA31" s="11" t="str">
        <f t="shared" si="10"/>
        <v/>
      </c>
      <c r="AB31" s="11" t="str">
        <f t="shared" si="11"/>
        <v/>
      </c>
      <c r="AC31" s="11" t="str">
        <f t="shared" si="12"/>
        <v/>
      </c>
      <c r="AD31" s="11" t="str">
        <f t="shared" si="13"/>
        <v/>
      </c>
      <c r="AE31" s="11" t="str">
        <f t="shared" si="14"/>
        <v/>
      </c>
      <c r="AF31" s="11" t="str">
        <f t="shared" si="15"/>
        <v/>
      </c>
      <c r="AG31" s="11" t="str">
        <f t="shared" si="16"/>
        <v/>
      </c>
      <c r="AH31" s="11"/>
      <c r="AI31" s="11"/>
    </row>
    <row r="32" spans="1:35" x14ac:dyDescent="0.25">
      <c r="A32" s="24">
        <v>7</v>
      </c>
      <c r="B32" s="11"/>
      <c r="C32" s="11"/>
      <c r="D32" s="11"/>
      <c r="E32" s="11"/>
      <c r="F32" s="11"/>
      <c r="G32" s="11"/>
      <c r="H32" s="11"/>
      <c r="I32" s="11"/>
      <c r="J32" s="11"/>
      <c r="K32" s="11"/>
      <c r="M32" s="24">
        <v>7</v>
      </c>
      <c r="N32" s="11"/>
      <c r="O32" s="11"/>
      <c r="P32" s="11"/>
      <c r="Q32" s="11"/>
      <c r="R32" s="11"/>
      <c r="S32" s="11"/>
      <c r="T32" s="11"/>
      <c r="U32" s="11"/>
      <c r="V32" s="11"/>
      <c r="W32" s="11"/>
      <c r="Y32" s="24">
        <v>7</v>
      </c>
      <c r="Z32" s="11" t="str">
        <f t="shared" si="17"/>
        <v/>
      </c>
      <c r="AA32" s="11" t="str">
        <f t="shared" si="10"/>
        <v/>
      </c>
      <c r="AB32" s="11" t="str">
        <f t="shared" si="11"/>
        <v/>
      </c>
      <c r="AC32" s="11" t="str">
        <f t="shared" si="12"/>
        <v/>
      </c>
      <c r="AD32" s="11" t="str">
        <f t="shared" si="13"/>
        <v/>
      </c>
      <c r="AE32" s="11" t="str">
        <f t="shared" si="14"/>
        <v/>
      </c>
      <c r="AF32" s="11" t="str">
        <f t="shared" si="15"/>
        <v/>
      </c>
      <c r="AG32" s="11" t="str">
        <f t="shared" si="16"/>
        <v/>
      </c>
      <c r="AH32" s="11"/>
      <c r="AI32" s="11"/>
    </row>
    <row r="33" spans="1:35" x14ac:dyDescent="0.25">
      <c r="A33" s="24">
        <v>8</v>
      </c>
      <c r="B33" s="11"/>
      <c r="C33" s="11"/>
      <c r="D33" s="11"/>
      <c r="E33" s="11"/>
      <c r="F33" s="11"/>
      <c r="G33" s="11"/>
      <c r="H33" s="11"/>
      <c r="I33" s="11"/>
      <c r="J33" s="11"/>
      <c r="K33" s="11"/>
      <c r="M33" s="24">
        <v>8</v>
      </c>
      <c r="N33" s="11"/>
      <c r="O33" s="11"/>
      <c r="P33" s="11"/>
      <c r="Q33" s="11"/>
      <c r="R33" s="11"/>
      <c r="S33" s="11"/>
      <c r="T33" s="11"/>
      <c r="U33" s="11"/>
      <c r="V33" s="11"/>
      <c r="W33" s="11"/>
      <c r="Y33" s="24">
        <v>8</v>
      </c>
      <c r="Z33" s="11" t="str">
        <f t="shared" si="17"/>
        <v/>
      </c>
      <c r="AA33" s="11" t="str">
        <f t="shared" si="10"/>
        <v/>
      </c>
      <c r="AB33" s="11" t="str">
        <f t="shared" si="11"/>
        <v/>
      </c>
      <c r="AC33" s="11" t="str">
        <f t="shared" si="12"/>
        <v/>
      </c>
      <c r="AD33" s="11" t="str">
        <f t="shared" si="13"/>
        <v/>
      </c>
      <c r="AE33" s="11" t="str">
        <f t="shared" si="14"/>
        <v/>
      </c>
      <c r="AF33" s="11" t="str">
        <f t="shared" si="15"/>
        <v/>
      </c>
      <c r="AG33" s="11" t="str">
        <f t="shared" si="16"/>
        <v/>
      </c>
      <c r="AH33" s="11"/>
      <c r="AI33" s="11"/>
    </row>
    <row r="34" spans="1:35" x14ac:dyDescent="0.25">
      <c r="A34" s="24">
        <v>9</v>
      </c>
      <c r="B34" s="11"/>
      <c r="C34" s="11"/>
      <c r="D34" s="11"/>
      <c r="E34" s="11"/>
      <c r="F34" s="11"/>
      <c r="G34" s="11"/>
      <c r="H34" s="11"/>
      <c r="I34" s="11"/>
      <c r="J34" s="11"/>
      <c r="K34" s="11"/>
      <c r="M34" s="24">
        <v>9</v>
      </c>
      <c r="N34" s="11"/>
      <c r="O34" s="11"/>
      <c r="P34" s="11"/>
      <c r="Q34" s="11"/>
      <c r="R34" s="11"/>
      <c r="S34" s="11"/>
      <c r="T34" s="11"/>
      <c r="U34" s="11"/>
      <c r="V34" s="11"/>
      <c r="W34" s="11"/>
      <c r="Y34" s="24">
        <v>9</v>
      </c>
      <c r="Z34" s="11" t="str">
        <f t="shared" si="17"/>
        <v/>
      </c>
      <c r="AA34" s="11" t="str">
        <f t="shared" si="10"/>
        <v/>
      </c>
      <c r="AB34" s="11" t="str">
        <f t="shared" si="11"/>
        <v/>
      </c>
      <c r="AC34" s="11" t="str">
        <f t="shared" si="12"/>
        <v/>
      </c>
      <c r="AD34" s="11" t="str">
        <f t="shared" si="13"/>
        <v/>
      </c>
      <c r="AE34" s="11" t="str">
        <f t="shared" si="14"/>
        <v/>
      </c>
      <c r="AF34" s="11" t="str">
        <f t="shared" si="15"/>
        <v/>
      </c>
      <c r="AG34" s="11" t="str">
        <f t="shared" si="16"/>
        <v/>
      </c>
      <c r="AH34" s="11"/>
      <c r="AI34" s="11"/>
    </row>
    <row r="35" spans="1:35" x14ac:dyDescent="0.25">
      <c r="A35" s="24">
        <v>10</v>
      </c>
      <c r="B35" s="11"/>
      <c r="C35" s="11"/>
      <c r="D35" s="11"/>
      <c r="E35" s="11"/>
      <c r="F35" s="11"/>
      <c r="G35" s="11"/>
      <c r="H35" s="11"/>
      <c r="I35" s="11"/>
      <c r="J35" s="11"/>
      <c r="K35" s="11"/>
      <c r="M35" s="24">
        <v>10</v>
      </c>
      <c r="N35" s="11"/>
      <c r="O35" s="11"/>
      <c r="P35" s="11"/>
      <c r="Q35" s="11"/>
      <c r="R35" s="11"/>
      <c r="S35" s="11"/>
      <c r="T35" s="11"/>
      <c r="U35" s="11"/>
      <c r="V35" s="11"/>
      <c r="W35" s="11"/>
      <c r="Y35" s="24">
        <v>10</v>
      </c>
      <c r="Z35" s="11" t="str">
        <f t="shared" si="17"/>
        <v/>
      </c>
      <c r="AA35" s="11" t="str">
        <f t="shared" si="10"/>
        <v/>
      </c>
      <c r="AB35" s="11" t="str">
        <f t="shared" si="11"/>
        <v/>
      </c>
      <c r="AC35" s="11" t="str">
        <f t="shared" si="12"/>
        <v/>
      </c>
      <c r="AD35" s="11" t="str">
        <f t="shared" si="13"/>
        <v/>
      </c>
      <c r="AE35" s="11" t="str">
        <f t="shared" si="14"/>
        <v/>
      </c>
      <c r="AF35" s="11" t="str">
        <f t="shared" si="15"/>
        <v/>
      </c>
      <c r="AG35" s="11" t="str">
        <f t="shared" si="16"/>
        <v/>
      </c>
      <c r="AH35" s="11"/>
      <c r="AI35" s="11"/>
    </row>
    <row r="36" spans="1:35" x14ac:dyDescent="0.25">
      <c r="A36" s="24">
        <v>11</v>
      </c>
      <c r="B36" s="11"/>
      <c r="C36" s="11"/>
      <c r="D36" s="11"/>
      <c r="E36" s="11"/>
      <c r="F36" s="11"/>
      <c r="G36" s="11"/>
      <c r="H36" s="11"/>
      <c r="I36" s="11"/>
      <c r="J36" s="11"/>
      <c r="K36" s="11"/>
      <c r="M36" s="24">
        <v>11</v>
      </c>
      <c r="N36" s="11"/>
      <c r="O36" s="11"/>
      <c r="P36" s="11"/>
      <c r="Q36" s="11"/>
      <c r="R36" s="11"/>
      <c r="S36" s="11"/>
      <c r="T36" s="11"/>
      <c r="U36" s="11"/>
      <c r="V36" s="11"/>
      <c r="W36" s="11"/>
      <c r="Y36" s="24">
        <v>11</v>
      </c>
      <c r="Z36" s="11" t="str">
        <f t="shared" si="17"/>
        <v/>
      </c>
      <c r="AA36" s="11" t="str">
        <f t="shared" si="10"/>
        <v/>
      </c>
      <c r="AB36" s="11" t="str">
        <f t="shared" si="11"/>
        <v/>
      </c>
      <c r="AC36" s="11" t="str">
        <f t="shared" si="12"/>
        <v/>
      </c>
      <c r="AD36" s="11" t="str">
        <f t="shared" si="13"/>
        <v/>
      </c>
      <c r="AE36" s="11" t="str">
        <f t="shared" si="14"/>
        <v/>
      </c>
      <c r="AF36" s="11" t="str">
        <f t="shared" si="15"/>
        <v/>
      </c>
      <c r="AG36" s="11" t="str">
        <f t="shared" si="16"/>
        <v/>
      </c>
      <c r="AH36" s="11"/>
      <c r="AI36" s="11"/>
    </row>
    <row r="37" spans="1:35" x14ac:dyDescent="0.25">
      <c r="A37" s="24">
        <v>12</v>
      </c>
      <c r="B37" s="11"/>
      <c r="C37" s="11"/>
      <c r="D37" s="11"/>
      <c r="E37" s="11"/>
      <c r="F37" s="11"/>
      <c r="G37" s="11"/>
      <c r="H37" s="11"/>
      <c r="I37" s="11"/>
      <c r="J37" s="11"/>
      <c r="K37" s="11"/>
      <c r="M37" s="24">
        <v>12</v>
      </c>
      <c r="N37" s="11"/>
      <c r="O37" s="11"/>
      <c r="P37" s="11"/>
      <c r="Q37" s="11"/>
      <c r="R37" s="11"/>
      <c r="S37" s="11"/>
      <c r="T37" s="11"/>
      <c r="U37" s="11"/>
      <c r="V37" s="11"/>
      <c r="W37" s="11"/>
      <c r="Y37" s="24">
        <v>12</v>
      </c>
      <c r="Z37" s="11" t="str">
        <f t="shared" si="17"/>
        <v/>
      </c>
      <c r="AA37" s="11" t="str">
        <f t="shared" si="10"/>
        <v/>
      </c>
      <c r="AB37" s="11" t="str">
        <f t="shared" si="11"/>
        <v/>
      </c>
      <c r="AC37" s="11" t="str">
        <f t="shared" si="12"/>
        <v/>
      </c>
      <c r="AD37" s="11" t="str">
        <f t="shared" si="13"/>
        <v/>
      </c>
      <c r="AE37" s="11" t="str">
        <f t="shared" si="14"/>
        <v/>
      </c>
      <c r="AF37" s="11" t="str">
        <f t="shared" si="15"/>
        <v/>
      </c>
      <c r="AG37" s="11" t="str">
        <f t="shared" si="16"/>
        <v/>
      </c>
      <c r="AH37" s="11"/>
      <c r="AI37" s="11"/>
    </row>
    <row r="38" spans="1:35" x14ac:dyDescent="0.25">
      <c r="A38" s="24">
        <v>13</v>
      </c>
      <c r="B38" s="11"/>
      <c r="C38" s="11"/>
      <c r="D38" s="11"/>
      <c r="E38" s="11"/>
      <c r="F38" s="11"/>
      <c r="G38" s="11"/>
      <c r="H38" s="11"/>
      <c r="I38" s="11"/>
      <c r="J38" s="11"/>
      <c r="K38" s="11"/>
      <c r="M38" s="24">
        <v>13</v>
      </c>
      <c r="N38" s="11"/>
      <c r="O38" s="11"/>
      <c r="P38" s="11"/>
      <c r="Q38" s="11"/>
      <c r="R38" s="11"/>
      <c r="S38" s="11"/>
      <c r="T38" s="11"/>
      <c r="U38" s="11"/>
      <c r="V38" s="11"/>
      <c r="W38" s="11"/>
      <c r="Y38" s="24">
        <v>13</v>
      </c>
      <c r="Z38" s="11" t="str">
        <f t="shared" si="17"/>
        <v/>
      </c>
      <c r="AA38" s="11" t="str">
        <f t="shared" si="10"/>
        <v/>
      </c>
      <c r="AB38" s="11" t="str">
        <f t="shared" si="11"/>
        <v/>
      </c>
      <c r="AC38" s="11" t="str">
        <f t="shared" si="12"/>
        <v/>
      </c>
      <c r="AD38" s="11" t="str">
        <f t="shared" si="13"/>
        <v/>
      </c>
      <c r="AE38" s="11" t="str">
        <f t="shared" si="14"/>
        <v/>
      </c>
      <c r="AF38" s="11" t="str">
        <f t="shared" si="15"/>
        <v/>
      </c>
      <c r="AG38" s="11" t="str">
        <f t="shared" si="16"/>
        <v/>
      </c>
      <c r="AH38" s="11"/>
      <c r="AI38" s="11"/>
    </row>
    <row r="39" spans="1:35" x14ac:dyDescent="0.25">
      <c r="A39" s="24">
        <v>14</v>
      </c>
      <c r="B39" s="11"/>
      <c r="C39" s="11"/>
      <c r="D39" s="11"/>
      <c r="E39" s="11"/>
      <c r="F39" s="11"/>
      <c r="G39" s="11"/>
      <c r="H39" s="11"/>
      <c r="I39" s="11"/>
      <c r="J39" s="11"/>
      <c r="K39" s="11"/>
      <c r="M39" s="24">
        <v>14</v>
      </c>
      <c r="N39" s="11"/>
      <c r="O39" s="11"/>
      <c r="P39" s="11"/>
      <c r="Q39" s="11"/>
      <c r="R39" s="11"/>
      <c r="S39" s="11"/>
      <c r="T39" s="11"/>
      <c r="U39" s="11"/>
      <c r="V39" s="11"/>
      <c r="W39" s="11"/>
      <c r="Y39" s="24">
        <v>14</v>
      </c>
      <c r="Z39" s="11" t="str">
        <f t="shared" si="17"/>
        <v/>
      </c>
      <c r="AA39" s="11" t="str">
        <f t="shared" si="10"/>
        <v/>
      </c>
      <c r="AB39" s="11" t="str">
        <f t="shared" si="11"/>
        <v/>
      </c>
      <c r="AC39" s="11" t="str">
        <f t="shared" si="12"/>
        <v/>
      </c>
      <c r="AD39" s="11" t="str">
        <f t="shared" si="13"/>
        <v/>
      </c>
      <c r="AE39" s="11" t="str">
        <f t="shared" si="14"/>
        <v/>
      </c>
      <c r="AF39" s="11" t="str">
        <f t="shared" si="15"/>
        <v/>
      </c>
      <c r="AG39" s="11" t="str">
        <f t="shared" si="16"/>
        <v/>
      </c>
      <c r="AH39" s="11"/>
      <c r="AI39" s="11"/>
    </row>
    <row r="40" spans="1:35" x14ac:dyDescent="0.25">
      <c r="A40" s="24">
        <v>15</v>
      </c>
      <c r="B40" s="11"/>
      <c r="C40" s="11"/>
      <c r="D40" s="11"/>
      <c r="E40" s="11"/>
      <c r="F40" s="11"/>
      <c r="G40" s="11"/>
      <c r="H40" s="11"/>
      <c r="I40" s="11"/>
      <c r="J40" s="11"/>
      <c r="K40" s="11"/>
      <c r="M40" s="24">
        <v>15</v>
      </c>
      <c r="N40" s="11"/>
      <c r="O40" s="11"/>
      <c r="P40" s="11"/>
      <c r="Q40" s="11"/>
      <c r="R40" s="11"/>
      <c r="S40" s="11"/>
      <c r="T40" s="11"/>
      <c r="U40" s="11"/>
      <c r="V40" s="11"/>
      <c r="W40" s="11"/>
      <c r="Y40" s="24">
        <v>15</v>
      </c>
      <c r="Z40" s="11" t="str">
        <f t="shared" si="17"/>
        <v/>
      </c>
      <c r="AA40" s="11" t="str">
        <f t="shared" si="10"/>
        <v/>
      </c>
      <c r="AB40" s="11" t="str">
        <f t="shared" si="11"/>
        <v/>
      </c>
      <c r="AC40" s="11" t="str">
        <f t="shared" si="12"/>
        <v/>
      </c>
      <c r="AD40" s="11" t="str">
        <f t="shared" si="13"/>
        <v/>
      </c>
      <c r="AE40" s="11" t="str">
        <f t="shared" si="14"/>
        <v/>
      </c>
      <c r="AF40" s="11" t="str">
        <f t="shared" si="15"/>
        <v/>
      </c>
      <c r="AG40" s="11" t="str">
        <f t="shared" si="16"/>
        <v/>
      </c>
      <c r="AH40" s="11"/>
      <c r="AI40" s="11"/>
    </row>
    <row r="41" spans="1:35" x14ac:dyDescent="0.25">
      <c r="A41" s="24">
        <v>16</v>
      </c>
      <c r="B41" s="11"/>
      <c r="C41" s="11"/>
      <c r="D41" s="11"/>
      <c r="E41" s="11"/>
      <c r="F41" s="11"/>
      <c r="G41" s="11"/>
      <c r="H41" s="11"/>
      <c r="I41" s="11"/>
      <c r="J41" s="11"/>
      <c r="K41" s="11"/>
      <c r="M41" s="24">
        <v>16</v>
      </c>
      <c r="N41" s="11"/>
      <c r="O41" s="11"/>
      <c r="P41" s="11"/>
      <c r="Q41" s="11"/>
      <c r="R41" s="11"/>
      <c r="S41" s="11"/>
      <c r="T41" s="11"/>
      <c r="U41" s="11"/>
      <c r="V41" s="11"/>
      <c r="W41" s="11"/>
      <c r="Y41" s="24">
        <v>16</v>
      </c>
      <c r="Z41" s="11" t="str">
        <f t="shared" si="17"/>
        <v/>
      </c>
      <c r="AA41" s="11" t="str">
        <f t="shared" si="10"/>
        <v/>
      </c>
      <c r="AB41" s="11" t="str">
        <f t="shared" si="11"/>
        <v/>
      </c>
      <c r="AC41" s="11" t="str">
        <f t="shared" si="12"/>
        <v/>
      </c>
      <c r="AD41" s="11" t="str">
        <f t="shared" si="13"/>
        <v/>
      </c>
      <c r="AE41" s="11" t="str">
        <f t="shared" si="14"/>
        <v/>
      </c>
      <c r="AF41" s="11" t="str">
        <f t="shared" si="15"/>
        <v/>
      </c>
      <c r="AG41" s="11" t="str">
        <f t="shared" si="16"/>
        <v/>
      </c>
      <c r="AH41" s="11"/>
      <c r="AI41" s="11"/>
    </row>
    <row r="42" spans="1:35" x14ac:dyDescent="0.25">
      <c r="A42" s="24">
        <v>17</v>
      </c>
      <c r="B42" s="11"/>
      <c r="C42" s="11"/>
      <c r="D42" s="11"/>
      <c r="E42" s="11"/>
      <c r="F42" s="11"/>
      <c r="G42" s="11"/>
      <c r="H42" s="11"/>
      <c r="I42" s="11"/>
      <c r="J42" s="11"/>
      <c r="K42" s="11"/>
      <c r="M42" s="24">
        <v>17</v>
      </c>
      <c r="N42" s="11"/>
      <c r="O42" s="11"/>
      <c r="P42" s="11"/>
      <c r="Q42" s="11"/>
      <c r="R42" s="11"/>
      <c r="S42" s="11"/>
      <c r="T42" s="11"/>
      <c r="U42" s="11"/>
      <c r="V42" s="11"/>
      <c r="W42" s="11"/>
      <c r="Y42" s="24">
        <v>17</v>
      </c>
      <c r="Z42" s="11" t="str">
        <f t="shared" si="17"/>
        <v/>
      </c>
      <c r="AA42" s="11" t="str">
        <f t="shared" si="10"/>
        <v/>
      </c>
      <c r="AB42" s="11" t="str">
        <f t="shared" si="11"/>
        <v/>
      </c>
      <c r="AC42" s="11" t="str">
        <f t="shared" si="12"/>
        <v/>
      </c>
      <c r="AD42" s="11" t="str">
        <f t="shared" si="13"/>
        <v/>
      </c>
      <c r="AE42" s="11" t="str">
        <f t="shared" si="14"/>
        <v/>
      </c>
      <c r="AF42" s="11" t="str">
        <f t="shared" si="15"/>
        <v/>
      </c>
      <c r="AG42" s="11" t="str">
        <f t="shared" si="16"/>
        <v/>
      </c>
      <c r="AH42" s="11"/>
      <c r="AI42" s="11"/>
    </row>
    <row r="43" spans="1:35" x14ac:dyDescent="0.25">
      <c r="A43" s="24">
        <v>18</v>
      </c>
      <c r="B43" s="11"/>
      <c r="C43" s="11"/>
      <c r="D43" s="11"/>
      <c r="E43" s="11"/>
      <c r="F43" s="11"/>
      <c r="G43" s="11"/>
      <c r="H43" s="11"/>
      <c r="I43" s="11"/>
      <c r="J43" s="11"/>
      <c r="K43" s="11"/>
      <c r="M43" s="24">
        <v>18</v>
      </c>
      <c r="N43" s="11"/>
      <c r="O43" s="11"/>
      <c r="P43" s="11"/>
      <c r="Q43" s="11"/>
      <c r="R43" s="11"/>
      <c r="S43" s="11"/>
      <c r="T43" s="11"/>
      <c r="U43" s="11"/>
      <c r="V43" s="11"/>
      <c r="W43" s="11"/>
      <c r="Y43" s="24">
        <v>18</v>
      </c>
      <c r="Z43" s="11" t="str">
        <f t="shared" si="17"/>
        <v/>
      </c>
      <c r="AA43" s="11" t="str">
        <f t="shared" si="10"/>
        <v/>
      </c>
      <c r="AB43" s="11" t="str">
        <f t="shared" si="11"/>
        <v/>
      </c>
      <c r="AC43" s="11" t="str">
        <f t="shared" si="12"/>
        <v/>
      </c>
      <c r="AD43" s="11" t="str">
        <f t="shared" si="13"/>
        <v/>
      </c>
      <c r="AE43" s="11" t="str">
        <f t="shared" si="14"/>
        <v/>
      </c>
      <c r="AF43" s="11" t="str">
        <f t="shared" si="15"/>
        <v/>
      </c>
      <c r="AG43" s="11" t="str">
        <f t="shared" si="16"/>
        <v/>
      </c>
      <c r="AH43" s="11"/>
      <c r="AI43" s="11"/>
    </row>
    <row r="46" spans="1:35" ht="57" x14ac:dyDescent="0.45">
      <c r="A46" s="104" t="s">
        <v>277</v>
      </c>
      <c r="B46" s="22" t="s">
        <v>1</v>
      </c>
      <c r="C46" s="22"/>
      <c r="D46" s="22"/>
      <c r="E46" s="22"/>
      <c r="F46" s="22"/>
      <c r="G46" s="22"/>
      <c r="H46" s="22"/>
      <c r="I46" s="22"/>
      <c r="J46" s="22"/>
      <c r="K46" s="22"/>
      <c r="M46" s="103" t="s">
        <v>278</v>
      </c>
      <c r="N46" s="22" t="s">
        <v>1</v>
      </c>
      <c r="O46" s="22"/>
      <c r="P46" s="22"/>
      <c r="Q46" s="22"/>
      <c r="R46" s="22"/>
      <c r="S46" s="22"/>
      <c r="T46" s="22"/>
      <c r="U46" s="22"/>
      <c r="V46" s="22"/>
      <c r="W46" s="22"/>
      <c r="Y46" s="103" t="s">
        <v>7</v>
      </c>
      <c r="Z46" s="22" t="s">
        <v>1</v>
      </c>
      <c r="AA46" s="22"/>
      <c r="AB46" s="22"/>
      <c r="AC46" s="22"/>
      <c r="AD46" s="22"/>
      <c r="AE46" s="22"/>
      <c r="AF46" s="22"/>
      <c r="AG46" s="22"/>
      <c r="AH46" s="22"/>
      <c r="AI46" s="22"/>
    </row>
    <row r="47" spans="1:35" ht="30" x14ac:dyDescent="0.25">
      <c r="A47" s="22" t="s">
        <v>2</v>
      </c>
      <c r="B47" s="26">
        <v>1</v>
      </c>
      <c r="C47" s="26">
        <v>2</v>
      </c>
      <c r="D47" s="26">
        <v>3</v>
      </c>
      <c r="E47" s="26">
        <v>4</v>
      </c>
      <c r="F47" s="26">
        <v>5</v>
      </c>
      <c r="G47" s="26">
        <v>6</v>
      </c>
      <c r="H47" s="26">
        <v>7</v>
      </c>
      <c r="I47" s="26">
        <v>8</v>
      </c>
      <c r="J47" s="26">
        <v>9</v>
      </c>
      <c r="K47" s="26">
        <v>10</v>
      </c>
      <c r="M47" s="22" t="s">
        <v>2</v>
      </c>
      <c r="N47" s="26">
        <v>1</v>
      </c>
      <c r="O47" s="26">
        <v>2</v>
      </c>
      <c r="P47" s="26">
        <v>3</v>
      </c>
      <c r="Q47" s="26">
        <v>4</v>
      </c>
      <c r="R47" s="26">
        <v>5</v>
      </c>
      <c r="S47" s="26">
        <v>6</v>
      </c>
      <c r="T47" s="26">
        <v>7</v>
      </c>
      <c r="U47" s="26">
        <v>8</v>
      </c>
      <c r="V47" s="26">
        <v>9</v>
      </c>
      <c r="W47" s="26">
        <v>10</v>
      </c>
      <c r="Y47" s="22" t="s">
        <v>2</v>
      </c>
      <c r="Z47" s="26">
        <v>1</v>
      </c>
      <c r="AA47" s="26">
        <v>2</v>
      </c>
      <c r="AB47" s="26">
        <v>3</v>
      </c>
      <c r="AC47" s="26">
        <v>4</v>
      </c>
      <c r="AD47" s="26">
        <v>5</v>
      </c>
      <c r="AE47" s="26">
        <v>6</v>
      </c>
      <c r="AF47" s="26">
        <v>7</v>
      </c>
      <c r="AG47" s="26">
        <v>8</v>
      </c>
      <c r="AH47" s="26">
        <v>9</v>
      </c>
      <c r="AI47" s="26">
        <v>10</v>
      </c>
    </row>
    <row r="48" spans="1:35" x14ac:dyDescent="0.25">
      <c r="A48" s="24">
        <v>1</v>
      </c>
      <c r="B48" s="11"/>
      <c r="C48" s="11"/>
      <c r="D48" s="11"/>
      <c r="E48" s="11"/>
      <c r="F48" s="11"/>
      <c r="G48" s="11"/>
      <c r="H48" s="11"/>
      <c r="I48" s="11"/>
      <c r="J48" s="11"/>
      <c r="K48" s="11"/>
      <c r="M48" s="24">
        <v>1</v>
      </c>
      <c r="N48" s="11"/>
      <c r="O48" s="11"/>
      <c r="P48" s="11"/>
      <c r="Q48" s="11"/>
      <c r="R48" s="11"/>
      <c r="S48" s="11"/>
      <c r="T48" s="11"/>
      <c r="U48" s="11"/>
      <c r="V48" s="11"/>
      <c r="W48" s="11"/>
      <c r="Y48" s="24">
        <v>1</v>
      </c>
      <c r="Z48" s="11" t="str">
        <f>CONCATENATE(B48,$L$4,N48)</f>
        <v/>
      </c>
      <c r="AA48" s="11" t="str">
        <f t="shared" ref="AA48:AA65" si="18">CONCATENATE(C48,$L$4,O48)</f>
        <v/>
      </c>
      <c r="AB48" s="11" t="str">
        <f t="shared" ref="AB48:AB65" si="19">CONCATENATE(D48,$L$4,P48)</f>
        <v/>
      </c>
      <c r="AC48" s="11" t="str">
        <f t="shared" ref="AC48:AC65" si="20">CONCATENATE(E48,$L$4,Q48)</f>
        <v/>
      </c>
      <c r="AD48" s="11" t="str">
        <f t="shared" ref="AD48:AD65" si="21">CONCATENATE(F48,$L$4,R48)</f>
        <v/>
      </c>
      <c r="AE48" s="11" t="str">
        <f t="shared" ref="AE48:AE65" si="22">CONCATENATE(G48,$L$4,S48)</f>
        <v/>
      </c>
      <c r="AF48" s="11" t="str">
        <f t="shared" ref="AF48:AF65" si="23">CONCATENATE(H48,$L$4,T48)</f>
        <v/>
      </c>
      <c r="AG48" s="11" t="str">
        <f t="shared" ref="AG48:AG65" si="24">CONCATENATE(I48,$L$4,U48)</f>
        <v/>
      </c>
      <c r="AH48" s="11"/>
      <c r="AI48" s="11"/>
    </row>
    <row r="49" spans="1:35" x14ac:dyDescent="0.25">
      <c r="A49" s="24">
        <v>2</v>
      </c>
      <c r="B49" s="11"/>
      <c r="C49" s="11"/>
      <c r="D49" s="11"/>
      <c r="E49" s="11"/>
      <c r="F49" s="11"/>
      <c r="G49" s="11"/>
      <c r="H49" s="11"/>
      <c r="I49" s="11"/>
      <c r="J49" s="11"/>
      <c r="K49" s="11"/>
      <c r="M49" s="24">
        <v>2</v>
      </c>
      <c r="N49" s="11"/>
      <c r="O49" s="11"/>
      <c r="P49" s="11"/>
      <c r="Q49" s="11"/>
      <c r="R49" s="11"/>
      <c r="S49" s="11"/>
      <c r="T49" s="11"/>
      <c r="U49" s="11"/>
      <c r="V49" s="11"/>
      <c r="W49" s="11"/>
      <c r="Y49" s="24">
        <v>2</v>
      </c>
      <c r="Z49" s="11" t="str">
        <f t="shared" ref="Z49:Z65" si="25">CONCATENATE(B49,$L$4,N49)</f>
        <v/>
      </c>
      <c r="AA49" s="11" t="str">
        <f t="shared" si="18"/>
        <v/>
      </c>
      <c r="AB49" s="11" t="str">
        <f t="shared" si="19"/>
        <v/>
      </c>
      <c r="AC49" s="11" t="str">
        <f t="shared" si="20"/>
        <v/>
      </c>
      <c r="AD49" s="11" t="str">
        <f t="shared" si="21"/>
        <v/>
      </c>
      <c r="AE49" s="11" t="str">
        <f t="shared" si="22"/>
        <v/>
      </c>
      <c r="AF49" s="11" t="str">
        <f t="shared" si="23"/>
        <v/>
      </c>
      <c r="AG49" s="11" t="str">
        <f t="shared" si="24"/>
        <v/>
      </c>
      <c r="AH49" s="11"/>
      <c r="AI49" s="11"/>
    </row>
    <row r="50" spans="1:35" x14ac:dyDescent="0.25">
      <c r="A50" s="24">
        <v>3</v>
      </c>
      <c r="B50" s="11"/>
      <c r="C50" s="11"/>
      <c r="D50" s="11"/>
      <c r="E50" s="11"/>
      <c r="F50" s="11"/>
      <c r="G50" s="11"/>
      <c r="H50" s="11"/>
      <c r="I50" s="11"/>
      <c r="J50" s="11"/>
      <c r="K50" s="11"/>
      <c r="M50" s="24">
        <v>3</v>
      </c>
      <c r="N50" s="11"/>
      <c r="O50" s="11"/>
      <c r="P50" s="11"/>
      <c r="Q50" s="11"/>
      <c r="R50" s="11"/>
      <c r="S50" s="11"/>
      <c r="T50" s="11"/>
      <c r="U50" s="11"/>
      <c r="V50" s="11"/>
      <c r="W50" s="11"/>
      <c r="Y50" s="24">
        <v>3</v>
      </c>
      <c r="Z50" s="11" t="str">
        <f t="shared" si="25"/>
        <v/>
      </c>
      <c r="AA50" s="11" t="str">
        <f t="shared" si="18"/>
        <v/>
      </c>
      <c r="AB50" s="11" t="str">
        <f t="shared" si="19"/>
        <v/>
      </c>
      <c r="AC50" s="11" t="str">
        <f t="shared" si="20"/>
        <v/>
      </c>
      <c r="AD50" s="11" t="str">
        <f t="shared" si="21"/>
        <v/>
      </c>
      <c r="AE50" s="11" t="str">
        <f t="shared" si="22"/>
        <v/>
      </c>
      <c r="AF50" s="11" t="str">
        <f t="shared" si="23"/>
        <v/>
      </c>
      <c r="AG50" s="11" t="str">
        <f t="shared" si="24"/>
        <v/>
      </c>
      <c r="AH50" s="11"/>
      <c r="AI50" s="11"/>
    </row>
    <row r="51" spans="1:35" x14ac:dyDescent="0.25">
      <c r="A51" s="24">
        <v>4</v>
      </c>
      <c r="B51" s="11"/>
      <c r="C51" s="11"/>
      <c r="D51" s="11"/>
      <c r="E51" s="11"/>
      <c r="F51" s="11"/>
      <c r="G51" s="11"/>
      <c r="H51" s="11"/>
      <c r="I51" s="11"/>
      <c r="J51" s="11"/>
      <c r="K51" s="11"/>
      <c r="M51" s="24">
        <v>4</v>
      </c>
      <c r="N51" s="11"/>
      <c r="O51" s="11"/>
      <c r="P51" s="11"/>
      <c r="Q51" s="11"/>
      <c r="R51" s="11"/>
      <c r="S51" s="11"/>
      <c r="T51" s="11"/>
      <c r="U51" s="11"/>
      <c r="V51" s="11"/>
      <c r="W51" s="11"/>
      <c r="Y51" s="24">
        <v>4</v>
      </c>
      <c r="Z51" s="11" t="str">
        <f t="shared" si="25"/>
        <v/>
      </c>
      <c r="AA51" s="11" t="str">
        <f t="shared" si="18"/>
        <v/>
      </c>
      <c r="AB51" s="11" t="str">
        <f t="shared" si="19"/>
        <v/>
      </c>
      <c r="AC51" s="11" t="str">
        <f t="shared" si="20"/>
        <v/>
      </c>
      <c r="AD51" s="11" t="str">
        <f t="shared" si="21"/>
        <v/>
      </c>
      <c r="AE51" s="11" t="str">
        <f t="shared" si="22"/>
        <v/>
      </c>
      <c r="AF51" s="11" t="str">
        <f t="shared" si="23"/>
        <v/>
      </c>
      <c r="AG51" s="11" t="str">
        <f t="shared" si="24"/>
        <v/>
      </c>
      <c r="AH51" s="11"/>
      <c r="AI51" s="11"/>
    </row>
    <row r="52" spans="1:35" x14ac:dyDescent="0.25">
      <c r="A52" s="24">
        <v>5</v>
      </c>
      <c r="B52" s="11"/>
      <c r="C52" s="11"/>
      <c r="D52" s="11"/>
      <c r="E52" s="11"/>
      <c r="F52" s="11"/>
      <c r="G52" s="11"/>
      <c r="H52" s="11"/>
      <c r="I52" s="11"/>
      <c r="J52" s="11"/>
      <c r="K52" s="11"/>
      <c r="M52" s="24">
        <v>5</v>
      </c>
      <c r="N52" s="11"/>
      <c r="O52" s="11"/>
      <c r="P52" s="11"/>
      <c r="Q52" s="11"/>
      <c r="R52" s="11"/>
      <c r="S52" s="11"/>
      <c r="T52" s="11"/>
      <c r="U52" s="11"/>
      <c r="V52" s="11"/>
      <c r="W52" s="11"/>
      <c r="Y52" s="24">
        <v>5</v>
      </c>
      <c r="Z52" s="11" t="str">
        <f t="shared" si="25"/>
        <v/>
      </c>
      <c r="AA52" s="11" t="str">
        <f t="shared" si="18"/>
        <v/>
      </c>
      <c r="AB52" s="11" t="str">
        <f t="shared" si="19"/>
        <v/>
      </c>
      <c r="AC52" s="11" t="str">
        <f t="shared" si="20"/>
        <v/>
      </c>
      <c r="AD52" s="11" t="str">
        <f t="shared" si="21"/>
        <v/>
      </c>
      <c r="AE52" s="11" t="str">
        <f t="shared" si="22"/>
        <v/>
      </c>
      <c r="AF52" s="11" t="str">
        <f t="shared" si="23"/>
        <v/>
      </c>
      <c r="AG52" s="11" t="str">
        <f t="shared" si="24"/>
        <v/>
      </c>
      <c r="AH52" s="11"/>
      <c r="AI52" s="11"/>
    </row>
    <row r="53" spans="1:35" x14ac:dyDescent="0.25">
      <c r="A53" s="24">
        <v>6</v>
      </c>
      <c r="B53" s="11"/>
      <c r="C53" s="11"/>
      <c r="D53" s="11"/>
      <c r="E53" s="11"/>
      <c r="F53" s="11"/>
      <c r="G53" s="11"/>
      <c r="H53" s="11"/>
      <c r="I53" s="11"/>
      <c r="J53" s="11"/>
      <c r="K53" s="11"/>
      <c r="M53" s="24">
        <v>6</v>
      </c>
      <c r="N53" s="11"/>
      <c r="O53" s="11"/>
      <c r="P53" s="11"/>
      <c r="Q53" s="11"/>
      <c r="R53" s="11"/>
      <c r="S53" s="11"/>
      <c r="T53" s="11"/>
      <c r="U53" s="11"/>
      <c r="V53" s="11"/>
      <c r="W53" s="11"/>
      <c r="Y53" s="24">
        <v>6</v>
      </c>
      <c r="Z53" s="11" t="str">
        <f t="shared" si="25"/>
        <v/>
      </c>
      <c r="AA53" s="11" t="str">
        <f t="shared" si="18"/>
        <v/>
      </c>
      <c r="AB53" s="11" t="str">
        <f t="shared" si="19"/>
        <v/>
      </c>
      <c r="AC53" s="11" t="str">
        <f t="shared" si="20"/>
        <v/>
      </c>
      <c r="AD53" s="11" t="str">
        <f t="shared" si="21"/>
        <v/>
      </c>
      <c r="AE53" s="11" t="str">
        <f t="shared" si="22"/>
        <v/>
      </c>
      <c r="AF53" s="11" t="str">
        <f t="shared" si="23"/>
        <v/>
      </c>
      <c r="AG53" s="11" t="str">
        <f t="shared" si="24"/>
        <v/>
      </c>
      <c r="AH53" s="11"/>
      <c r="AI53" s="11"/>
    </row>
    <row r="54" spans="1:35" x14ac:dyDescent="0.25">
      <c r="A54" s="24">
        <v>7</v>
      </c>
      <c r="B54" s="11"/>
      <c r="C54" s="11"/>
      <c r="D54" s="11"/>
      <c r="E54" s="11"/>
      <c r="F54" s="11"/>
      <c r="G54" s="11"/>
      <c r="H54" s="11"/>
      <c r="I54" s="11"/>
      <c r="J54" s="11"/>
      <c r="K54" s="11"/>
      <c r="M54" s="24">
        <v>7</v>
      </c>
      <c r="N54" s="11"/>
      <c r="O54" s="11"/>
      <c r="P54" s="11"/>
      <c r="Q54" s="11"/>
      <c r="R54" s="11"/>
      <c r="S54" s="11"/>
      <c r="T54" s="11"/>
      <c r="U54" s="11"/>
      <c r="V54" s="11"/>
      <c r="W54" s="11"/>
      <c r="Y54" s="24">
        <v>7</v>
      </c>
      <c r="Z54" s="11" t="str">
        <f t="shared" si="25"/>
        <v/>
      </c>
      <c r="AA54" s="11" t="str">
        <f t="shared" si="18"/>
        <v/>
      </c>
      <c r="AB54" s="11" t="str">
        <f t="shared" si="19"/>
        <v/>
      </c>
      <c r="AC54" s="11" t="str">
        <f t="shared" si="20"/>
        <v/>
      </c>
      <c r="AD54" s="11" t="str">
        <f t="shared" si="21"/>
        <v/>
      </c>
      <c r="AE54" s="11" t="str">
        <f t="shared" si="22"/>
        <v/>
      </c>
      <c r="AF54" s="11" t="str">
        <f t="shared" si="23"/>
        <v/>
      </c>
      <c r="AG54" s="11" t="str">
        <f t="shared" si="24"/>
        <v/>
      </c>
      <c r="AH54" s="11"/>
      <c r="AI54" s="11"/>
    </row>
    <row r="55" spans="1:35" x14ac:dyDescent="0.25">
      <c r="A55" s="24">
        <v>8</v>
      </c>
      <c r="B55" s="11"/>
      <c r="C55" s="11"/>
      <c r="D55" s="11"/>
      <c r="E55" s="11"/>
      <c r="F55" s="11"/>
      <c r="G55" s="11"/>
      <c r="H55" s="11"/>
      <c r="I55" s="11"/>
      <c r="J55" s="11"/>
      <c r="K55" s="11"/>
      <c r="M55" s="24">
        <v>8</v>
      </c>
      <c r="N55" s="11"/>
      <c r="O55" s="11"/>
      <c r="P55" s="11"/>
      <c r="Q55" s="11"/>
      <c r="R55" s="11"/>
      <c r="S55" s="11"/>
      <c r="T55" s="11"/>
      <c r="U55" s="11"/>
      <c r="V55" s="11"/>
      <c r="W55" s="11"/>
      <c r="Y55" s="24">
        <v>8</v>
      </c>
      <c r="Z55" s="11" t="str">
        <f t="shared" si="25"/>
        <v/>
      </c>
      <c r="AA55" s="11" t="str">
        <f t="shared" si="18"/>
        <v/>
      </c>
      <c r="AB55" s="11" t="str">
        <f t="shared" si="19"/>
        <v/>
      </c>
      <c r="AC55" s="11" t="str">
        <f t="shared" si="20"/>
        <v/>
      </c>
      <c r="AD55" s="11" t="str">
        <f t="shared" si="21"/>
        <v/>
      </c>
      <c r="AE55" s="11" t="str">
        <f t="shared" si="22"/>
        <v/>
      </c>
      <c r="AF55" s="11" t="str">
        <f t="shared" si="23"/>
        <v/>
      </c>
      <c r="AG55" s="11" t="str">
        <f t="shared" si="24"/>
        <v/>
      </c>
      <c r="AH55" s="11"/>
      <c r="AI55" s="11"/>
    </row>
    <row r="56" spans="1:35" x14ac:dyDescent="0.25">
      <c r="A56" s="24">
        <v>9</v>
      </c>
      <c r="B56" s="11"/>
      <c r="C56" s="11"/>
      <c r="D56" s="11"/>
      <c r="E56" s="11"/>
      <c r="F56" s="11"/>
      <c r="G56" s="11"/>
      <c r="H56" s="11"/>
      <c r="I56" s="11"/>
      <c r="J56" s="11"/>
      <c r="K56" s="11"/>
      <c r="M56" s="24">
        <v>9</v>
      </c>
      <c r="N56" s="11"/>
      <c r="O56" s="11"/>
      <c r="P56" s="11"/>
      <c r="Q56" s="11"/>
      <c r="R56" s="11"/>
      <c r="S56" s="11"/>
      <c r="T56" s="11"/>
      <c r="U56" s="11"/>
      <c r="V56" s="11"/>
      <c r="W56" s="11"/>
      <c r="Y56" s="24">
        <v>9</v>
      </c>
      <c r="Z56" s="11" t="str">
        <f t="shared" si="25"/>
        <v/>
      </c>
      <c r="AA56" s="11" t="str">
        <f t="shared" si="18"/>
        <v/>
      </c>
      <c r="AB56" s="11" t="str">
        <f t="shared" si="19"/>
        <v/>
      </c>
      <c r="AC56" s="11" t="str">
        <f t="shared" si="20"/>
        <v/>
      </c>
      <c r="AD56" s="11" t="str">
        <f t="shared" si="21"/>
        <v/>
      </c>
      <c r="AE56" s="11" t="str">
        <f t="shared" si="22"/>
        <v/>
      </c>
      <c r="AF56" s="11" t="str">
        <f t="shared" si="23"/>
        <v/>
      </c>
      <c r="AG56" s="11" t="str">
        <f t="shared" si="24"/>
        <v/>
      </c>
      <c r="AH56" s="11"/>
      <c r="AI56" s="11"/>
    </row>
    <row r="57" spans="1:35" x14ac:dyDescent="0.25">
      <c r="A57" s="24">
        <v>10</v>
      </c>
      <c r="B57" s="11"/>
      <c r="C57" s="11"/>
      <c r="D57" s="11"/>
      <c r="E57" s="11"/>
      <c r="F57" s="11"/>
      <c r="G57" s="11"/>
      <c r="H57" s="11"/>
      <c r="I57" s="11"/>
      <c r="J57" s="11"/>
      <c r="K57" s="11"/>
      <c r="M57" s="24">
        <v>10</v>
      </c>
      <c r="N57" s="11"/>
      <c r="O57" s="11"/>
      <c r="P57" s="11"/>
      <c r="Q57" s="11"/>
      <c r="R57" s="11"/>
      <c r="S57" s="11"/>
      <c r="T57" s="11"/>
      <c r="U57" s="11"/>
      <c r="V57" s="11"/>
      <c r="W57" s="11"/>
      <c r="Y57" s="24">
        <v>10</v>
      </c>
      <c r="Z57" s="11" t="str">
        <f t="shared" si="25"/>
        <v/>
      </c>
      <c r="AA57" s="11" t="str">
        <f t="shared" si="18"/>
        <v/>
      </c>
      <c r="AB57" s="11" t="str">
        <f t="shared" si="19"/>
        <v/>
      </c>
      <c r="AC57" s="11" t="str">
        <f t="shared" si="20"/>
        <v/>
      </c>
      <c r="AD57" s="11" t="str">
        <f t="shared" si="21"/>
        <v/>
      </c>
      <c r="AE57" s="11" t="str">
        <f t="shared" si="22"/>
        <v/>
      </c>
      <c r="AF57" s="11" t="str">
        <f t="shared" si="23"/>
        <v/>
      </c>
      <c r="AG57" s="11" t="str">
        <f t="shared" si="24"/>
        <v/>
      </c>
      <c r="AH57" s="11"/>
      <c r="AI57" s="11"/>
    </row>
    <row r="58" spans="1:35" x14ac:dyDescent="0.25">
      <c r="A58" s="24">
        <v>11</v>
      </c>
      <c r="B58" s="11"/>
      <c r="C58" s="11"/>
      <c r="D58" s="11"/>
      <c r="E58" s="11"/>
      <c r="F58" s="11"/>
      <c r="G58" s="11"/>
      <c r="H58" s="11"/>
      <c r="I58" s="11"/>
      <c r="J58" s="11"/>
      <c r="K58" s="11"/>
      <c r="M58" s="24">
        <v>11</v>
      </c>
      <c r="N58" s="11"/>
      <c r="O58" s="11"/>
      <c r="P58" s="11"/>
      <c r="Q58" s="11"/>
      <c r="R58" s="11"/>
      <c r="S58" s="11"/>
      <c r="T58" s="11"/>
      <c r="U58" s="11"/>
      <c r="V58" s="11"/>
      <c r="W58" s="11"/>
      <c r="Y58" s="24">
        <v>11</v>
      </c>
      <c r="Z58" s="11" t="str">
        <f t="shared" si="25"/>
        <v/>
      </c>
      <c r="AA58" s="11" t="str">
        <f t="shared" si="18"/>
        <v/>
      </c>
      <c r="AB58" s="11" t="str">
        <f t="shared" si="19"/>
        <v/>
      </c>
      <c r="AC58" s="11" t="str">
        <f t="shared" si="20"/>
        <v/>
      </c>
      <c r="AD58" s="11" t="str">
        <f t="shared" si="21"/>
        <v/>
      </c>
      <c r="AE58" s="11" t="str">
        <f t="shared" si="22"/>
        <v/>
      </c>
      <c r="AF58" s="11" t="str">
        <f t="shared" si="23"/>
        <v/>
      </c>
      <c r="AG58" s="11" t="str">
        <f t="shared" si="24"/>
        <v/>
      </c>
      <c r="AH58" s="11"/>
      <c r="AI58" s="11"/>
    </row>
    <row r="59" spans="1:35" x14ac:dyDescent="0.25">
      <c r="A59" s="24">
        <v>12</v>
      </c>
      <c r="B59" s="11"/>
      <c r="C59" s="11"/>
      <c r="D59" s="11"/>
      <c r="E59" s="11"/>
      <c r="F59" s="11"/>
      <c r="G59" s="11"/>
      <c r="H59" s="11"/>
      <c r="I59" s="11"/>
      <c r="J59" s="11"/>
      <c r="K59" s="11"/>
      <c r="M59" s="24">
        <v>12</v>
      </c>
      <c r="N59" s="11"/>
      <c r="O59" s="11"/>
      <c r="P59" s="11"/>
      <c r="Q59" s="11"/>
      <c r="R59" s="11"/>
      <c r="S59" s="11"/>
      <c r="T59" s="11"/>
      <c r="U59" s="11"/>
      <c r="V59" s="11"/>
      <c r="W59" s="11"/>
      <c r="Y59" s="24">
        <v>12</v>
      </c>
      <c r="Z59" s="11" t="str">
        <f t="shared" si="25"/>
        <v/>
      </c>
      <c r="AA59" s="11" t="str">
        <f t="shared" si="18"/>
        <v/>
      </c>
      <c r="AB59" s="11" t="str">
        <f t="shared" si="19"/>
        <v/>
      </c>
      <c r="AC59" s="11" t="str">
        <f t="shared" si="20"/>
        <v/>
      </c>
      <c r="AD59" s="11" t="str">
        <f t="shared" si="21"/>
        <v/>
      </c>
      <c r="AE59" s="11" t="str">
        <f t="shared" si="22"/>
        <v/>
      </c>
      <c r="AF59" s="11" t="str">
        <f t="shared" si="23"/>
        <v/>
      </c>
      <c r="AG59" s="11" t="str">
        <f t="shared" si="24"/>
        <v/>
      </c>
      <c r="AH59" s="11"/>
      <c r="AI59" s="11"/>
    </row>
    <row r="60" spans="1:35" x14ac:dyDescent="0.25">
      <c r="A60" s="24">
        <v>13</v>
      </c>
      <c r="B60" s="11"/>
      <c r="C60" s="11"/>
      <c r="D60" s="11"/>
      <c r="E60" s="11"/>
      <c r="F60" s="11"/>
      <c r="G60" s="11"/>
      <c r="H60" s="11"/>
      <c r="I60" s="11"/>
      <c r="J60" s="11"/>
      <c r="K60" s="11"/>
      <c r="M60" s="24">
        <v>13</v>
      </c>
      <c r="N60" s="11"/>
      <c r="O60" s="11"/>
      <c r="P60" s="11"/>
      <c r="Q60" s="11"/>
      <c r="R60" s="11"/>
      <c r="S60" s="11"/>
      <c r="T60" s="11"/>
      <c r="U60" s="11"/>
      <c r="V60" s="11"/>
      <c r="W60" s="11"/>
      <c r="Y60" s="24">
        <v>13</v>
      </c>
      <c r="Z60" s="11" t="str">
        <f t="shared" si="25"/>
        <v/>
      </c>
      <c r="AA60" s="11" t="str">
        <f t="shared" si="18"/>
        <v/>
      </c>
      <c r="AB60" s="11" t="str">
        <f t="shared" si="19"/>
        <v/>
      </c>
      <c r="AC60" s="11" t="str">
        <f t="shared" si="20"/>
        <v/>
      </c>
      <c r="AD60" s="11" t="str">
        <f t="shared" si="21"/>
        <v/>
      </c>
      <c r="AE60" s="11" t="str">
        <f t="shared" si="22"/>
        <v/>
      </c>
      <c r="AF60" s="11" t="str">
        <f t="shared" si="23"/>
        <v/>
      </c>
      <c r="AG60" s="11" t="str">
        <f t="shared" si="24"/>
        <v/>
      </c>
      <c r="AH60" s="11"/>
      <c r="AI60" s="11"/>
    </row>
    <row r="61" spans="1:35" x14ac:dyDescent="0.25">
      <c r="A61" s="24">
        <v>14</v>
      </c>
      <c r="B61" s="11"/>
      <c r="C61" s="11"/>
      <c r="D61" s="11"/>
      <c r="E61" s="11"/>
      <c r="F61" s="11"/>
      <c r="G61" s="11"/>
      <c r="H61" s="11"/>
      <c r="I61" s="11"/>
      <c r="J61" s="11"/>
      <c r="K61" s="11"/>
      <c r="M61" s="24">
        <v>14</v>
      </c>
      <c r="N61" s="11"/>
      <c r="O61" s="11"/>
      <c r="P61" s="11"/>
      <c r="Q61" s="11"/>
      <c r="R61" s="11"/>
      <c r="S61" s="11"/>
      <c r="T61" s="11"/>
      <c r="U61" s="11"/>
      <c r="V61" s="11"/>
      <c r="W61" s="11"/>
      <c r="Y61" s="24">
        <v>14</v>
      </c>
      <c r="Z61" s="11" t="str">
        <f t="shared" si="25"/>
        <v/>
      </c>
      <c r="AA61" s="11" t="str">
        <f t="shared" si="18"/>
        <v/>
      </c>
      <c r="AB61" s="11" t="str">
        <f t="shared" si="19"/>
        <v/>
      </c>
      <c r="AC61" s="11" t="str">
        <f t="shared" si="20"/>
        <v/>
      </c>
      <c r="AD61" s="11" t="str">
        <f t="shared" si="21"/>
        <v/>
      </c>
      <c r="AE61" s="11" t="str">
        <f t="shared" si="22"/>
        <v/>
      </c>
      <c r="AF61" s="11" t="str">
        <f t="shared" si="23"/>
        <v/>
      </c>
      <c r="AG61" s="11" t="str">
        <f t="shared" si="24"/>
        <v/>
      </c>
      <c r="AH61" s="11"/>
      <c r="AI61" s="11"/>
    </row>
    <row r="62" spans="1:35" x14ac:dyDescent="0.25">
      <c r="A62" s="24">
        <v>15</v>
      </c>
      <c r="B62" s="11"/>
      <c r="C62" s="11"/>
      <c r="D62" s="11"/>
      <c r="E62" s="11"/>
      <c r="F62" s="11"/>
      <c r="G62" s="11"/>
      <c r="H62" s="11"/>
      <c r="I62" s="11"/>
      <c r="J62" s="11"/>
      <c r="K62" s="11"/>
      <c r="M62" s="24">
        <v>15</v>
      </c>
      <c r="N62" s="11"/>
      <c r="O62" s="11"/>
      <c r="P62" s="11"/>
      <c r="Q62" s="11"/>
      <c r="R62" s="11"/>
      <c r="S62" s="11"/>
      <c r="T62" s="11"/>
      <c r="U62" s="11"/>
      <c r="V62" s="11"/>
      <c r="W62" s="11"/>
      <c r="Y62" s="24">
        <v>15</v>
      </c>
      <c r="Z62" s="11" t="str">
        <f t="shared" si="25"/>
        <v/>
      </c>
      <c r="AA62" s="11" t="str">
        <f t="shared" si="18"/>
        <v/>
      </c>
      <c r="AB62" s="11" t="str">
        <f t="shared" si="19"/>
        <v/>
      </c>
      <c r="AC62" s="11" t="str">
        <f t="shared" si="20"/>
        <v/>
      </c>
      <c r="AD62" s="11" t="str">
        <f t="shared" si="21"/>
        <v/>
      </c>
      <c r="AE62" s="11" t="str">
        <f t="shared" si="22"/>
        <v/>
      </c>
      <c r="AF62" s="11" t="str">
        <f t="shared" si="23"/>
        <v/>
      </c>
      <c r="AG62" s="11" t="str">
        <f t="shared" si="24"/>
        <v/>
      </c>
      <c r="AH62" s="11"/>
      <c r="AI62" s="11"/>
    </row>
    <row r="63" spans="1:35" x14ac:dyDescent="0.25">
      <c r="A63" s="24">
        <v>16</v>
      </c>
      <c r="B63" s="11"/>
      <c r="C63" s="11"/>
      <c r="D63" s="11"/>
      <c r="E63" s="11"/>
      <c r="F63" s="11"/>
      <c r="G63" s="11"/>
      <c r="H63" s="11"/>
      <c r="I63" s="11"/>
      <c r="J63" s="11"/>
      <c r="K63" s="11"/>
      <c r="M63" s="24">
        <v>16</v>
      </c>
      <c r="N63" s="11"/>
      <c r="O63" s="11"/>
      <c r="P63" s="11"/>
      <c r="Q63" s="11"/>
      <c r="R63" s="11"/>
      <c r="S63" s="11"/>
      <c r="T63" s="11"/>
      <c r="U63" s="11"/>
      <c r="V63" s="11"/>
      <c r="W63" s="11"/>
      <c r="Y63" s="24">
        <v>16</v>
      </c>
      <c r="Z63" s="11" t="str">
        <f t="shared" si="25"/>
        <v/>
      </c>
      <c r="AA63" s="11" t="str">
        <f t="shared" si="18"/>
        <v/>
      </c>
      <c r="AB63" s="11" t="str">
        <f t="shared" si="19"/>
        <v/>
      </c>
      <c r="AC63" s="11" t="str">
        <f t="shared" si="20"/>
        <v/>
      </c>
      <c r="AD63" s="11" t="str">
        <f t="shared" si="21"/>
        <v/>
      </c>
      <c r="AE63" s="11" t="str">
        <f t="shared" si="22"/>
        <v/>
      </c>
      <c r="AF63" s="11" t="str">
        <f t="shared" si="23"/>
        <v/>
      </c>
      <c r="AG63" s="11" t="str">
        <f t="shared" si="24"/>
        <v/>
      </c>
      <c r="AH63" s="11"/>
      <c r="AI63" s="11"/>
    </row>
    <row r="64" spans="1:35" x14ac:dyDescent="0.25">
      <c r="A64" s="24">
        <v>17</v>
      </c>
      <c r="B64" s="11"/>
      <c r="C64" s="11"/>
      <c r="D64" s="11"/>
      <c r="E64" s="11"/>
      <c r="F64" s="11"/>
      <c r="G64" s="11"/>
      <c r="H64" s="11"/>
      <c r="I64" s="11"/>
      <c r="J64" s="11"/>
      <c r="K64" s="11"/>
      <c r="M64" s="24">
        <v>17</v>
      </c>
      <c r="N64" s="11"/>
      <c r="O64" s="11"/>
      <c r="P64" s="11"/>
      <c r="Q64" s="11"/>
      <c r="R64" s="11"/>
      <c r="S64" s="11"/>
      <c r="T64" s="11"/>
      <c r="U64" s="11"/>
      <c r="V64" s="11"/>
      <c r="W64" s="11"/>
      <c r="Y64" s="24">
        <v>17</v>
      </c>
      <c r="Z64" s="11" t="str">
        <f t="shared" si="25"/>
        <v/>
      </c>
      <c r="AA64" s="11" t="str">
        <f t="shared" si="18"/>
        <v/>
      </c>
      <c r="AB64" s="11" t="str">
        <f t="shared" si="19"/>
        <v/>
      </c>
      <c r="AC64" s="11" t="str">
        <f t="shared" si="20"/>
        <v/>
      </c>
      <c r="AD64" s="11" t="str">
        <f t="shared" si="21"/>
        <v/>
      </c>
      <c r="AE64" s="11" t="str">
        <f t="shared" si="22"/>
        <v/>
      </c>
      <c r="AF64" s="11" t="str">
        <f t="shared" si="23"/>
        <v/>
      </c>
      <c r="AG64" s="11" t="str">
        <f t="shared" si="24"/>
        <v/>
      </c>
      <c r="AH64" s="11"/>
      <c r="AI64" s="11"/>
    </row>
    <row r="65" spans="1:35" x14ac:dyDescent="0.25">
      <c r="A65" s="24">
        <v>18</v>
      </c>
      <c r="B65" s="11"/>
      <c r="C65" s="11"/>
      <c r="D65" s="11"/>
      <c r="E65" s="11"/>
      <c r="F65" s="11"/>
      <c r="G65" s="11"/>
      <c r="H65" s="11"/>
      <c r="I65" s="11"/>
      <c r="J65" s="11"/>
      <c r="K65" s="11"/>
      <c r="M65" s="24">
        <v>18</v>
      </c>
      <c r="N65" s="11"/>
      <c r="O65" s="11"/>
      <c r="P65" s="11"/>
      <c r="Q65" s="11"/>
      <c r="R65" s="11"/>
      <c r="S65" s="11"/>
      <c r="T65" s="11"/>
      <c r="U65" s="11"/>
      <c r="V65" s="11"/>
      <c r="W65" s="11"/>
      <c r="Y65" s="24">
        <v>18</v>
      </c>
      <c r="Z65" s="11" t="str">
        <f t="shared" si="25"/>
        <v/>
      </c>
      <c r="AA65" s="11" t="str">
        <f t="shared" si="18"/>
        <v/>
      </c>
      <c r="AB65" s="11" t="str">
        <f t="shared" si="19"/>
        <v/>
      </c>
      <c r="AC65" s="11" t="str">
        <f t="shared" si="20"/>
        <v/>
      </c>
      <c r="AD65" s="11" t="str">
        <f t="shared" si="21"/>
        <v/>
      </c>
      <c r="AE65" s="11" t="str">
        <f t="shared" si="22"/>
        <v/>
      </c>
      <c r="AF65" s="11" t="str">
        <f t="shared" si="23"/>
        <v/>
      </c>
      <c r="AG65" s="11" t="str">
        <f t="shared" si="24"/>
        <v/>
      </c>
      <c r="AH65" s="11"/>
      <c r="AI65" s="11"/>
    </row>
    <row r="68" spans="1:35" ht="85.5" x14ac:dyDescent="0.45">
      <c r="A68" s="104" t="s">
        <v>279</v>
      </c>
      <c r="B68" s="22" t="s">
        <v>1</v>
      </c>
      <c r="C68" s="22"/>
      <c r="D68" s="22"/>
      <c r="E68" s="22"/>
      <c r="F68" s="22"/>
      <c r="G68" s="22"/>
      <c r="H68" s="22"/>
      <c r="I68" s="22"/>
      <c r="J68" s="22"/>
      <c r="K68" s="22"/>
      <c r="M68" s="103" t="s">
        <v>280</v>
      </c>
      <c r="N68" s="22" t="s">
        <v>1</v>
      </c>
      <c r="O68" s="22"/>
      <c r="P68" s="22"/>
      <c r="Q68" s="22"/>
      <c r="R68" s="22"/>
      <c r="S68" s="22"/>
      <c r="T68" s="22"/>
      <c r="U68" s="22"/>
      <c r="V68" s="22"/>
      <c r="W68" s="22"/>
      <c r="Y68" s="103" t="s">
        <v>9</v>
      </c>
      <c r="Z68" s="22" t="s">
        <v>1</v>
      </c>
      <c r="AA68" s="22"/>
      <c r="AB68" s="22"/>
      <c r="AC68" s="22"/>
      <c r="AD68" s="22"/>
      <c r="AE68" s="22"/>
      <c r="AF68" s="22"/>
      <c r="AG68" s="22"/>
      <c r="AH68" s="22"/>
      <c r="AI68" s="22"/>
    </row>
    <row r="69" spans="1:35" ht="30" x14ac:dyDescent="0.25">
      <c r="A69" s="22" t="s">
        <v>2</v>
      </c>
      <c r="B69" s="26">
        <v>1</v>
      </c>
      <c r="C69" s="26">
        <v>2</v>
      </c>
      <c r="D69" s="26">
        <v>3</v>
      </c>
      <c r="E69" s="26">
        <v>4</v>
      </c>
      <c r="F69" s="26">
        <v>5</v>
      </c>
      <c r="G69" s="26">
        <v>6</v>
      </c>
      <c r="H69" s="26">
        <v>7</v>
      </c>
      <c r="I69" s="26">
        <v>8</v>
      </c>
      <c r="J69" s="26">
        <v>9</v>
      </c>
      <c r="K69" s="26">
        <v>10</v>
      </c>
      <c r="M69" s="22" t="s">
        <v>2</v>
      </c>
      <c r="N69" s="26">
        <v>1</v>
      </c>
      <c r="O69" s="26">
        <v>2</v>
      </c>
      <c r="P69" s="26">
        <v>3</v>
      </c>
      <c r="Q69" s="26">
        <v>4</v>
      </c>
      <c r="R69" s="26">
        <v>5</v>
      </c>
      <c r="S69" s="26">
        <v>6</v>
      </c>
      <c r="T69" s="26">
        <v>7</v>
      </c>
      <c r="U69" s="26">
        <v>8</v>
      </c>
      <c r="V69" s="26">
        <v>9</v>
      </c>
      <c r="W69" s="26">
        <v>10</v>
      </c>
      <c r="Y69" s="22" t="s">
        <v>2</v>
      </c>
      <c r="Z69" s="26">
        <v>1</v>
      </c>
      <c r="AA69" s="26">
        <v>2</v>
      </c>
      <c r="AB69" s="26">
        <v>3</v>
      </c>
      <c r="AC69" s="26">
        <v>4</v>
      </c>
      <c r="AD69" s="26">
        <v>5</v>
      </c>
      <c r="AE69" s="26">
        <v>6</v>
      </c>
      <c r="AF69" s="26">
        <v>7</v>
      </c>
      <c r="AG69" s="26">
        <v>8</v>
      </c>
      <c r="AH69" s="26">
        <v>9</v>
      </c>
      <c r="AI69" s="26">
        <v>10</v>
      </c>
    </row>
    <row r="70" spans="1:35" x14ac:dyDescent="0.25">
      <c r="A70" s="24">
        <v>1</v>
      </c>
      <c r="B70" s="11"/>
      <c r="C70" s="11"/>
      <c r="D70" s="11"/>
      <c r="E70" s="11"/>
      <c r="F70" s="11"/>
      <c r="G70" s="11"/>
      <c r="H70" s="11"/>
      <c r="I70" s="11"/>
      <c r="J70" s="11"/>
      <c r="K70" s="11"/>
      <c r="M70" s="24">
        <v>1</v>
      </c>
      <c r="N70" s="11"/>
      <c r="O70" s="11"/>
      <c r="P70" s="11"/>
      <c r="Q70" s="11"/>
      <c r="R70" s="11"/>
      <c r="S70" s="11"/>
      <c r="T70" s="11"/>
      <c r="U70" s="11"/>
      <c r="V70" s="11"/>
      <c r="W70" s="11"/>
      <c r="Y70" s="24">
        <v>1</v>
      </c>
      <c r="Z70" s="11" t="str">
        <f>CONCATENATE(B70,$L$4,N70)</f>
        <v/>
      </c>
      <c r="AA70" s="11" t="str">
        <f t="shared" ref="AA70:AA87" si="26">CONCATENATE(C70,$L$4,O70)</f>
        <v/>
      </c>
      <c r="AB70" s="11" t="str">
        <f t="shared" ref="AB70:AB87" si="27">CONCATENATE(D70,$L$4,P70)</f>
        <v/>
      </c>
      <c r="AC70" s="11" t="str">
        <f t="shared" ref="AC70:AC87" si="28">CONCATENATE(E70,$L$4,Q70)</f>
        <v/>
      </c>
      <c r="AD70" s="11" t="str">
        <f t="shared" ref="AD70:AD87" si="29">CONCATENATE(F70,$L$4,R70)</f>
        <v/>
      </c>
      <c r="AE70" s="11" t="str">
        <f t="shared" ref="AE70:AE87" si="30">CONCATENATE(G70,$L$4,S70)</f>
        <v/>
      </c>
      <c r="AF70" s="11" t="str">
        <f t="shared" ref="AF70:AF87" si="31">CONCATENATE(H70,$L$4,T70)</f>
        <v/>
      </c>
      <c r="AG70" s="11" t="str">
        <f t="shared" ref="AG70:AG87" si="32">CONCATENATE(I70,$L$4,U70)</f>
        <v/>
      </c>
      <c r="AH70" s="11"/>
      <c r="AI70" s="11"/>
    </row>
    <row r="71" spans="1:35" x14ac:dyDescent="0.25">
      <c r="A71" s="24">
        <v>2</v>
      </c>
      <c r="B71" s="11"/>
      <c r="C71" s="11"/>
      <c r="D71" s="11"/>
      <c r="E71" s="11"/>
      <c r="F71" s="11"/>
      <c r="G71" s="11"/>
      <c r="H71" s="11"/>
      <c r="I71" s="11"/>
      <c r="J71" s="11"/>
      <c r="K71" s="11"/>
      <c r="M71" s="24">
        <v>2</v>
      </c>
      <c r="N71" s="11"/>
      <c r="O71" s="11"/>
      <c r="P71" s="11"/>
      <c r="Q71" s="11"/>
      <c r="R71" s="11"/>
      <c r="S71" s="11"/>
      <c r="T71" s="11"/>
      <c r="U71" s="11"/>
      <c r="V71" s="11"/>
      <c r="W71" s="11"/>
      <c r="Y71" s="24">
        <v>2</v>
      </c>
      <c r="Z71" s="11" t="str">
        <f t="shared" ref="Z71:Z87" si="33">CONCATENATE(B71,$L$4,N71)</f>
        <v/>
      </c>
      <c r="AA71" s="11" t="str">
        <f t="shared" si="26"/>
        <v/>
      </c>
      <c r="AB71" s="11" t="str">
        <f t="shared" si="27"/>
        <v/>
      </c>
      <c r="AC71" s="11" t="str">
        <f t="shared" si="28"/>
        <v/>
      </c>
      <c r="AD71" s="11" t="str">
        <f t="shared" si="29"/>
        <v/>
      </c>
      <c r="AE71" s="11" t="str">
        <f t="shared" si="30"/>
        <v/>
      </c>
      <c r="AF71" s="11" t="str">
        <f t="shared" si="31"/>
        <v/>
      </c>
      <c r="AG71" s="11" t="str">
        <f t="shared" si="32"/>
        <v/>
      </c>
      <c r="AH71" s="11"/>
      <c r="AI71" s="11"/>
    </row>
    <row r="72" spans="1:35" x14ac:dyDescent="0.25">
      <c r="A72" s="24">
        <v>3</v>
      </c>
      <c r="B72" s="11"/>
      <c r="C72" s="11"/>
      <c r="D72" s="11"/>
      <c r="E72" s="11"/>
      <c r="F72" s="11"/>
      <c r="G72" s="11"/>
      <c r="H72" s="11"/>
      <c r="I72" s="11"/>
      <c r="J72" s="11"/>
      <c r="K72" s="11"/>
      <c r="M72" s="24">
        <v>3</v>
      </c>
      <c r="N72" s="11"/>
      <c r="O72" s="11"/>
      <c r="P72" s="11"/>
      <c r="Q72" s="11"/>
      <c r="R72" s="11"/>
      <c r="S72" s="11"/>
      <c r="T72" s="11"/>
      <c r="U72" s="11"/>
      <c r="V72" s="11"/>
      <c r="W72" s="11"/>
      <c r="Y72" s="24">
        <v>3</v>
      </c>
      <c r="Z72" s="11" t="str">
        <f t="shared" si="33"/>
        <v/>
      </c>
      <c r="AA72" s="11" t="str">
        <f t="shared" si="26"/>
        <v/>
      </c>
      <c r="AB72" s="11" t="str">
        <f t="shared" si="27"/>
        <v/>
      </c>
      <c r="AC72" s="11" t="str">
        <f t="shared" si="28"/>
        <v/>
      </c>
      <c r="AD72" s="11" t="str">
        <f t="shared" si="29"/>
        <v/>
      </c>
      <c r="AE72" s="11" t="str">
        <f t="shared" si="30"/>
        <v/>
      </c>
      <c r="AF72" s="11" t="str">
        <f t="shared" si="31"/>
        <v/>
      </c>
      <c r="AG72" s="11" t="str">
        <f t="shared" si="32"/>
        <v/>
      </c>
      <c r="AH72" s="11"/>
      <c r="AI72" s="11"/>
    </row>
    <row r="73" spans="1:35" x14ac:dyDescent="0.25">
      <c r="A73" s="24">
        <v>4</v>
      </c>
      <c r="B73" s="11"/>
      <c r="C73" s="11"/>
      <c r="D73" s="11"/>
      <c r="E73" s="11"/>
      <c r="F73" s="11"/>
      <c r="G73" s="11"/>
      <c r="H73" s="11"/>
      <c r="I73" s="11"/>
      <c r="J73" s="11"/>
      <c r="K73" s="11"/>
      <c r="M73" s="24">
        <v>4</v>
      </c>
      <c r="N73" s="11"/>
      <c r="O73" s="11"/>
      <c r="P73" s="11"/>
      <c r="Q73" s="11"/>
      <c r="R73" s="11"/>
      <c r="S73" s="11"/>
      <c r="T73" s="11"/>
      <c r="U73" s="11"/>
      <c r="V73" s="11"/>
      <c r="W73" s="11"/>
      <c r="Y73" s="24">
        <v>4</v>
      </c>
      <c r="Z73" s="11" t="str">
        <f t="shared" si="33"/>
        <v/>
      </c>
      <c r="AA73" s="11" t="str">
        <f t="shared" si="26"/>
        <v/>
      </c>
      <c r="AB73" s="11" t="str">
        <f t="shared" si="27"/>
        <v/>
      </c>
      <c r="AC73" s="11" t="str">
        <f t="shared" si="28"/>
        <v/>
      </c>
      <c r="AD73" s="11" t="str">
        <f t="shared" si="29"/>
        <v/>
      </c>
      <c r="AE73" s="11" t="str">
        <f t="shared" si="30"/>
        <v/>
      </c>
      <c r="AF73" s="11" t="str">
        <f t="shared" si="31"/>
        <v/>
      </c>
      <c r="AG73" s="11" t="str">
        <f t="shared" si="32"/>
        <v/>
      </c>
      <c r="AH73" s="11"/>
      <c r="AI73" s="11"/>
    </row>
    <row r="74" spans="1:35" x14ac:dyDescent="0.25">
      <c r="A74" s="24">
        <v>5</v>
      </c>
      <c r="B74" s="11"/>
      <c r="C74" s="11"/>
      <c r="D74" s="11"/>
      <c r="E74" s="11"/>
      <c r="F74" s="11"/>
      <c r="G74" s="11"/>
      <c r="H74" s="11"/>
      <c r="I74" s="11"/>
      <c r="J74" s="11"/>
      <c r="K74" s="11"/>
      <c r="M74" s="24">
        <v>5</v>
      </c>
      <c r="N74" s="11"/>
      <c r="O74" s="11"/>
      <c r="P74" s="11"/>
      <c r="Q74" s="11"/>
      <c r="R74" s="11"/>
      <c r="S74" s="11"/>
      <c r="T74" s="11"/>
      <c r="U74" s="11"/>
      <c r="V74" s="11"/>
      <c r="W74" s="11"/>
      <c r="Y74" s="24">
        <v>5</v>
      </c>
      <c r="Z74" s="11" t="str">
        <f t="shared" si="33"/>
        <v/>
      </c>
      <c r="AA74" s="11" t="str">
        <f t="shared" si="26"/>
        <v/>
      </c>
      <c r="AB74" s="11" t="str">
        <f t="shared" si="27"/>
        <v/>
      </c>
      <c r="AC74" s="11" t="str">
        <f t="shared" si="28"/>
        <v/>
      </c>
      <c r="AD74" s="11" t="str">
        <f t="shared" si="29"/>
        <v/>
      </c>
      <c r="AE74" s="11" t="str">
        <f t="shared" si="30"/>
        <v/>
      </c>
      <c r="AF74" s="11" t="str">
        <f t="shared" si="31"/>
        <v/>
      </c>
      <c r="AG74" s="11" t="str">
        <f t="shared" si="32"/>
        <v/>
      </c>
      <c r="AH74" s="11"/>
      <c r="AI74" s="11"/>
    </row>
    <row r="75" spans="1:35" x14ac:dyDescent="0.25">
      <c r="A75" s="24">
        <v>6</v>
      </c>
      <c r="B75" s="11"/>
      <c r="C75" s="11"/>
      <c r="D75" s="11"/>
      <c r="E75" s="11"/>
      <c r="F75" s="11"/>
      <c r="G75" s="11"/>
      <c r="H75" s="11"/>
      <c r="I75" s="11"/>
      <c r="J75" s="11"/>
      <c r="K75" s="11"/>
      <c r="M75" s="24">
        <v>6</v>
      </c>
      <c r="N75" s="11"/>
      <c r="O75" s="11"/>
      <c r="P75" s="11"/>
      <c r="Q75" s="11"/>
      <c r="R75" s="11"/>
      <c r="S75" s="11"/>
      <c r="T75" s="11"/>
      <c r="U75" s="11"/>
      <c r="V75" s="11"/>
      <c r="W75" s="11"/>
      <c r="Y75" s="24">
        <v>6</v>
      </c>
      <c r="Z75" s="11" t="str">
        <f t="shared" si="33"/>
        <v/>
      </c>
      <c r="AA75" s="11" t="str">
        <f t="shared" si="26"/>
        <v/>
      </c>
      <c r="AB75" s="11" t="str">
        <f t="shared" si="27"/>
        <v/>
      </c>
      <c r="AC75" s="11" t="str">
        <f t="shared" si="28"/>
        <v/>
      </c>
      <c r="AD75" s="11" t="str">
        <f t="shared" si="29"/>
        <v/>
      </c>
      <c r="AE75" s="11" t="str">
        <f t="shared" si="30"/>
        <v/>
      </c>
      <c r="AF75" s="11" t="str">
        <f t="shared" si="31"/>
        <v/>
      </c>
      <c r="AG75" s="11" t="str">
        <f t="shared" si="32"/>
        <v/>
      </c>
      <c r="AH75" s="11"/>
      <c r="AI75" s="11"/>
    </row>
    <row r="76" spans="1:35" x14ac:dyDescent="0.25">
      <c r="A76" s="24">
        <v>7</v>
      </c>
      <c r="B76" s="11"/>
      <c r="C76" s="11"/>
      <c r="D76" s="11"/>
      <c r="E76" s="11"/>
      <c r="F76" s="11"/>
      <c r="G76" s="11"/>
      <c r="H76" s="11"/>
      <c r="I76" s="11"/>
      <c r="J76" s="11"/>
      <c r="K76" s="11"/>
      <c r="M76" s="24">
        <v>7</v>
      </c>
      <c r="N76" s="11"/>
      <c r="O76" s="11"/>
      <c r="P76" s="11"/>
      <c r="Q76" s="11"/>
      <c r="R76" s="11"/>
      <c r="S76" s="11"/>
      <c r="T76" s="11"/>
      <c r="U76" s="11"/>
      <c r="V76" s="11"/>
      <c r="W76" s="11"/>
      <c r="Y76" s="24">
        <v>7</v>
      </c>
      <c r="Z76" s="11" t="str">
        <f t="shared" si="33"/>
        <v/>
      </c>
      <c r="AA76" s="11" t="str">
        <f t="shared" si="26"/>
        <v/>
      </c>
      <c r="AB76" s="11" t="str">
        <f t="shared" si="27"/>
        <v/>
      </c>
      <c r="AC76" s="11" t="str">
        <f t="shared" si="28"/>
        <v/>
      </c>
      <c r="AD76" s="11" t="str">
        <f t="shared" si="29"/>
        <v/>
      </c>
      <c r="AE76" s="11" t="str">
        <f t="shared" si="30"/>
        <v/>
      </c>
      <c r="AF76" s="11" t="str">
        <f t="shared" si="31"/>
        <v/>
      </c>
      <c r="AG76" s="11" t="str">
        <f t="shared" si="32"/>
        <v/>
      </c>
      <c r="AH76" s="11"/>
      <c r="AI76" s="11"/>
    </row>
    <row r="77" spans="1:35" x14ac:dyDescent="0.25">
      <c r="A77" s="24">
        <v>8</v>
      </c>
      <c r="B77" s="11"/>
      <c r="C77" s="11"/>
      <c r="D77" s="11"/>
      <c r="E77" s="11"/>
      <c r="F77" s="11"/>
      <c r="G77" s="11"/>
      <c r="H77" s="11"/>
      <c r="I77" s="11"/>
      <c r="J77" s="11"/>
      <c r="K77" s="11"/>
      <c r="M77" s="24">
        <v>8</v>
      </c>
      <c r="N77" s="11"/>
      <c r="O77" s="11"/>
      <c r="P77" s="11"/>
      <c r="Q77" s="11"/>
      <c r="R77" s="11"/>
      <c r="S77" s="11"/>
      <c r="T77" s="11"/>
      <c r="U77" s="11"/>
      <c r="V77" s="11"/>
      <c r="W77" s="11"/>
      <c r="Y77" s="24">
        <v>8</v>
      </c>
      <c r="Z77" s="11" t="str">
        <f t="shared" si="33"/>
        <v/>
      </c>
      <c r="AA77" s="11" t="str">
        <f t="shared" si="26"/>
        <v/>
      </c>
      <c r="AB77" s="11" t="str">
        <f t="shared" si="27"/>
        <v/>
      </c>
      <c r="AC77" s="11" t="str">
        <f t="shared" si="28"/>
        <v/>
      </c>
      <c r="AD77" s="11" t="str">
        <f t="shared" si="29"/>
        <v/>
      </c>
      <c r="AE77" s="11" t="str">
        <f t="shared" si="30"/>
        <v/>
      </c>
      <c r="AF77" s="11" t="str">
        <f t="shared" si="31"/>
        <v/>
      </c>
      <c r="AG77" s="11" t="str">
        <f t="shared" si="32"/>
        <v/>
      </c>
      <c r="AH77" s="11"/>
      <c r="AI77" s="11"/>
    </row>
    <row r="78" spans="1:35" x14ac:dyDescent="0.25">
      <c r="A78" s="24">
        <v>9</v>
      </c>
      <c r="B78" s="11"/>
      <c r="C78" s="11"/>
      <c r="D78" s="11"/>
      <c r="E78" s="11"/>
      <c r="F78" s="11"/>
      <c r="G78" s="11"/>
      <c r="H78" s="11"/>
      <c r="I78" s="11"/>
      <c r="J78" s="11"/>
      <c r="K78" s="11"/>
      <c r="M78" s="24">
        <v>9</v>
      </c>
      <c r="N78" s="11"/>
      <c r="O78" s="11"/>
      <c r="P78" s="11"/>
      <c r="Q78" s="11"/>
      <c r="R78" s="11"/>
      <c r="S78" s="11"/>
      <c r="T78" s="11"/>
      <c r="U78" s="11"/>
      <c r="V78" s="11"/>
      <c r="W78" s="11"/>
      <c r="Y78" s="24">
        <v>9</v>
      </c>
      <c r="Z78" s="11" t="str">
        <f t="shared" si="33"/>
        <v/>
      </c>
      <c r="AA78" s="11" t="str">
        <f t="shared" si="26"/>
        <v/>
      </c>
      <c r="AB78" s="11" t="str">
        <f t="shared" si="27"/>
        <v/>
      </c>
      <c r="AC78" s="11" t="str">
        <f t="shared" si="28"/>
        <v/>
      </c>
      <c r="AD78" s="11" t="str">
        <f t="shared" si="29"/>
        <v/>
      </c>
      <c r="AE78" s="11" t="str">
        <f t="shared" si="30"/>
        <v/>
      </c>
      <c r="AF78" s="11" t="str">
        <f t="shared" si="31"/>
        <v/>
      </c>
      <c r="AG78" s="11" t="str">
        <f t="shared" si="32"/>
        <v/>
      </c>
      <c r="AH78" s="11"/>
      <c r="AI78" s="11"/>
    </row>
    <row r="79" spans="1:35" x14ac:dyDescent="0.25">
      <c r="A79" s="24">
        <v>10</v>
      </c>
      <c r="B79" s="11"/>
      <c r="C79" s="11"/>
      <c r="D79" s="11"/>
      <c r="E79" s="11"/>
      <c r="F79" s="11"/>
      <c r="G79" s="11"/>
      <c r="H79" s="11"/>
      <c r="I79" s="11"/>
      <c r="J79" s="11"/>
      <c r="K79" s="11"/>
      <c r="M79" s="24">
        <v>10</v>
      </c>
      <c r="N79" s="11"/>
      <c r="O79" s="11"/>
      <c r="P79" s="11"/>
      <c r="Q79" s="11"/>
      <c r="R79" s="11"/>
      <c r="S79" s="11"/>
      <c r="T79" s="11"/>
      <c r="U79" s="11"/>
      <c r="V79" s="11"/>
      <c r="W79" s="11"/>
      <c r="Y79" s="24">
        <v>10</v>
      </c>
      <c r="Z79" s="11" t="str">
        <f t="shared" si="33"/>
        <v/>
      </c>
      <c r="AA79" s="11" t="str">
        <f t="shared" si="26"/>
        <v/>
      </c>
      <c r="AB79" s="11" t="str">
        <f t="shared" si="27"/>
        <v/>
      </c>
      <c r="AC79" s="11" t="str">
        <f t="shared" si="28"/>
        <v/>
      </c>
      <c r="AD79" s="11" t="str">
        <f t="shared" si="29"/>
        <v/>
      </c>
      <c r="AE79" s="11" t="str">
        <f t="shared" si="30"/>
        <v/>
      </c>
      <c r="AF79" s="11" t="str">
        <f t="shared" si="31"/>
        <v/>
      </c>
      <c r="AG79" s="11" t="str">
        <f t="shared" si="32"/>
        <v/>
      </c>
      <c r="AH79" s="11"/>
      <c r="AI79" s="11"/>
    </row>
    <row r="80" spans="1:35" x14ac:dyDescent="0.25">
      <c r="A80" s="24">
        <v>11</v>
      </c>
      <c r="B80" s="11"/>
      <c r="C80" s="11"/>
      <c r="D80" s="11"/>
      <c r="E80" s="11"/>
      <c r="F80" s="11"/>
      <c r="G80" s="11"/>
      <c r="H80" s="11"/>
      <c r="I80" s="11"/>
      <c r="J80" s="11"/>
      <c r="K80" s="11"/>
      <c r="M80" s="24">
        <v>11</v>
      </c>
      <c r="N80" s="11"/>
      <c r="O80" s="11"/>
      <c r="P80" s="11"/>
      <c r="Q80" s="11"/>
      <c r="R80" s="11"/>
      <c r="S80" s="11"/>
      <c r="T80" s="11"/>
      <c r="U80" s="11"/>
      <c r="V80" s="11"/>
      <c r="W80" s="11"/>
      <c r="Y80" s="24">
        <v>11</v>
      </c>
      <c r="Z80" s="11" t="str">
        <f t="shared" si="33"/>
        <v/>
      </c>
      <c r="AA80" s="11" t="str">
        <f t="shared" si="26"/>
        <v/>
      </c>
      <c r="AB80" s="11" t="str">
        <f t="shared" si="27"/>
        <v/>
      </c>
      <c r="AC80" s="11" t="str">
        <f t="shared" si="28"/>
        <v/>
      </c>
      <c r="AD80" s="11" t="str">
        <f t="shared" si="29"/>
        <v/>
      </c>
      <c r="AE80" s="11" t="str">
        <f t="shared" si="30"/>
        <v/>
      </c>
      <c r="AF80" s="11" t="str">
        <f t="shared" si="31"/>
        <v/>
      </c>
      <c r="AG80" s="11" t="str">
        <f t="shared" si="32"/>
        <v/>
      </c>
      <c r="AH80" s="11"/>
      <c r="AI80" s="11"/>
    </row>
    <row r="81" spans="1:35" x14ac:dyDescent="0.25">
      <c r="A81" s="24">
        <v>12</v>
      </c>
      <c r="B81" s="11"/>
      <c r="C81" s="11"/>
      <c r="D81" s="11"/>
      <c r="E81" s="11"/>
      <c r="F81" s="11"/>
      <c r="G81" s="11"/>
      <c r="H81" s="11"/>
      <c r="I81" s="11"/>
      <c r="J81" s="11"/>
      <c r="K81" s="11"/>
      <c r="M81" s="24">
        <v>12</v>
      </c>
      <c r="N81" s="11"/>
      <c r="O81" s="11"/>
      <c r="P81" s="11"/>
      <c r="Q81" s="11"/>
      <c r="R81" s="11"/>
      <c r="S81" s="11"/>
      <c r="T81" s="11"/>
      <c r="U81" s="11"/>
      <c r="V81" s="11"/>
      <c r="W81" s="11"/>
      <c r="Y81" s="24">
        <v>12</v>
      </c>
      <c r="Z81" s="11" t="str">
        <f t="shared" si="33"/>
        <v/>
      </c>
      <c r="AA81" s="11" t="str">
        <f t="shared" si="26"/>
        <v/>
      </c>
      <c r="AB81" s="11" t="str">
        <f t="shared" si="27"/>
        <v/>
      </c>
      <c r="AC81" s="11" t="str">
        <f t="shared" si="28"/>
        <v/>
      </c>
      <c r="AD81" s="11" t="str">
        <f t="shared" si="29"/>
        <v/>
      </c>
      <c r="AE81" s="11" t="str">
        <f t="shared" si="30"/>
        <v/>
      </c>
      <c r="AF81" s="11" t="str">
        <f t="shared" si="31"/>
        <v/>
      </c>
      <c r="AG81" s="11" t="str">
        <f t="shared" si="32"/>
        <v/>
      </c>
      <c r="AH81" s="11"/>
      <c r="AI81" s="11"/>
    </row>
    <row r="82" spans="1:35" x14ac:dyDescent="0.25">
      <c r="A82" s="24">
        <v>13</v>
      </c>
      <c r="B82" s="11"/>
      <c r="C82" s="11"/>
      <c r="D82" s="11"/>
      <c r="E82" s="11"/>
      <c r="F82" s="11"/>
      <c r="G82" s="11"/>
      <c r="H82" s="11"/>
      <c r="I82" s="11"/>
      <c r="J82" s="11"/>
      <c r="K82" s="11"/>
      <c r="M82" s="24">
        <v>13</v>
      </c>
      <c r="N82" s="11"/>
      <c r="O82" s="11"/>
      <c r="P82" s="11"/>
      <c r="Q82" s="11"/>
      <c r="R82" s="11"/>
      <c r="S82" s="11"/>
      <c r="T82" s="11"/>
      <c r="U82" s="11"/>
      <c r="V82" s="11"/>
      <c r="W82" s="11"/>
      <c r="Y82" s="24">
        <v>13</v>
      </c>
      <c r="Z82" s="11" t="str">
        <f t="shared" si="33"/>
        <v/>
      </c>
      <c r="AA82" s="11" t="str">
        <f t="shared" si="26"/>
        <v/>
      </c>
      <c r="AB82" s="11" t="str">
        <f t="shared" si="27"/>
        <v/>
      </c>
      <c r="AC82" s="11" t="str">
        <f t="shared" si="28"/>
        <v/>
      </c>
      <c r="AD82" s="11" t="str">
        <f t="shared" si="29"/>
        <v/>
      </c>
      <c r="AE82" s="11" t="str">
        <f t="shared" si="30"/>
        <v/>
      </c>
      <c r="AF82" s="11" t="str">
        <f t="shared" si="31"/>
        <v/>
      </c>
      <c r="AG82" s="11" t="str">
        <f t="shared" si="32"/>
        <v/>
      </c>
      <c r="AH82" s="11"/>
      <c r="AI82" s="11"/>
    </row>
    <row r="83" spans="1:35" x14ac:dyDescent="0.25">
      <c r="A83" s="24">
        <v>14</v>
      </c>
      <c r="B83" s="11"/>
      <c r="C83" s="11"/>
      <c r="D83" s="11"/>
      <c r="E83" s="11"/>
      <c r="F83" s="11"/>
      <c r="G83" s="11"/>
      <c r="H83" s="11"/>
      <c r="I83" s="11"/>
      <c r="J83" s="11"/>
      <c r="K83" s="11"/>
      <c r="M83" s="24">
        <v>14</v>
      </c>
      <c r="N83" s="11"/>
      <c r="O83" s="11"/>
      <c r="P83" s="11"/>
      <c r="Q83" s="11"/>
      <c r="R83" s="11"/>
      <c r="S83" s="11"/>
      <c r="T83" s="11"/>
      <c r="U83" s="11"/>
      <c r="V83" s="11"/>
      <c r="W83" s="11"/>
      <c r="Y83" s="24">
        <v>14</v>
      </c>
      <c r="Z83" s="11" t="str">
        <f t="shared" si="33"/>
        <v/>
      </c>
      <c r="AA83" s="11" t="str">
        <f t="shared" si="26"/>
        <v/>
      </c>
      <c r="AB83" s="11" t="str">
        <f t="shared" si="27"/>
        <v/>
      </c>
      <c r="AC83" s="11" t="str">
        <f t="shared" si="28"/>
        <v/>
      </c>
      <c r="AD83" s="11" t="str">
        <f t="shared" si="29"/>
        <v/>
      </c>
      <c r="AE83" s="11" t="str">
        <f t="shared" si="30"/>
        <v/>
      </c>
      <c r="AF83" s="11" t="str">
        <f t="shared" si="31"/>
        <v/>
      </c>
      <c r="AG83" s="11" t="str">
        <f t="shared" si="32"/>
        <v/>
      </c>
      <c r="AH83" s="11"/>
      <c r="AI83" s="11"/>
    </row>
    <row r="84" spans="1:35" x14ac:dyDescent="0.25">
      <c r="A84" s="24">
        <v>15</v>
      </c>
      <c r="B84" s="11"/>
      <c r="C84" s="11"/>
      <c r="D84" s="11"/>
      <c r="E84" s="11"/>
      <c r="F84" s="11"/>
      <c r="G84" s="11"/>
      <c r="H84" s="11"/>
      <c r="I84" s="11"/>
      <c r="J84" s="11"/>
      <c r="K84" s="11"/>
      <c r="M84" s="24">
        <v>15</v>
      </c>
      <c r="N84" s="11"/>
      <c r="O84" s="11"/>
      <c r="P84" s="11"/>
      <c r="Q84" s="11"/>
      <c r="R84" s="11"/>
      <c r="S84" s="11"/>
      <c r="T84" s="11"/>
      <c r="U84" s="11"/>
      <c r="V84" s="11"/>
      <c r="W84" s="11"/>
      <c r="Y84" s="24">
        <v>15</v>
      </c>
      <c r="Z84" s="11" t="str">
        <f t="shared" si="33"/>
        <v/>
      </c>
      <c r="AA84" s="11" t="str">
        <f t="shared" si="26"/>
        <v/>
      </c>
      <c r="AB84" s="11" t="str">
        <f t="shared" si="27"/>
        <v/>
      </c>
      <c r="AC84" s="11" t="str">
        <f t="shared" si="28"/>
        <v/>
      </c>
      <c r="AD84" s="11" t="str">
        <f t="shared" si="29"/>
        <v/>
      </c>
      <c r="AE84" s="11" t="str">
        <f t="shared" si="30"/>
        <v/>
      </c>
      <c r="AF84" s="11" t="str">
        <f t="shared" si="31"/>
        <v/>
      </c>
      <c r="AG84" s="11" t="str">
        <f t="shared" si="32"/>
        <v/>
      </c>
      <c r="AH84" s="11"/>
      <c r="AI84" s="11"/>
    </row>
    <row r="85" spans="1:35" x14ac:dyDescent="0.25">
      <c r="A85" s="24">
        <v>16</v>
      </c>
      <c r="B85" s="11"/>
      <c r="C85" s="11"/>
      <c r="D85" s="11"/>
      <c r="E85" s="11"/>
      <c r="F85" s="11"/>
      <c r="G85" s="11"/>
      <c r="H85" s="11"/>
      <c r="I85" s="11"/>
      <c r="J85" s="11"/>
      <c r="K85" s="11"/>
      <c r="M85" s="24">
        <v>16</v>
      </c>
      <c r="N85" s="11"/>
      <c r="O85" s="11"/>
      <c r="P85" s="11"/>
      <c r="Q85" s="11"/>
      <c r="R85" s="11"/>
      <c r="S85" s="11"/>
      <c r="T85" s="11"/>
      <c r="U85" s="11"/>
      <c r="V85" s="11"/>
      <c r="W85" s="11"/>
      <c r="Y85" s="24">
        <v>16</v>
      </c>
      <c r="Z85" s="11" t="str">
        <f t="shared" si="33"/>
        <v/>
      </c>
      <c r="AA85" s="11" t="str">
        <f t="shared" si="26"/>
        <v/>
      </c>
      <c r="AB85" s="11" t="str">
        <f t="shared" si="27"/>
        <v/>
      </c>
      <c r="AC85" s="11" t="str">
        <f t="shared" si="28"/>
        <v/>
      </c>
      <c r="AD85" s="11" t="str">
        <f t="shared" si="29"/>
        <v/>
      </c>
      <c r="AE85" s="11" t="str">
        <f t="shared" si="30"/>
        <v/>
      </c>
      <c r="AF85" s="11" t="str">
        <f t="shared" si="31"/>
        <v/>
      </c>
      <c r="AG85" s="11" t="str">
        <f t="shared" si="32"/>
        <v/>
      </c>
      <c r="AH85" s="11"/>
      <c r="AI85" s="11"/>
    </row>
    <row r="86" spans="1:35" x14ac:dyDescent="0.25">
      <c r="A86" s="24">
        <v>17</v>
      </c>
      <c r="B86" s="11"/>
      <c r="C86" s="11"/>
      <c r="D86" s="11"/>
      <c r="E86" s="11"/>
      <c r="F86" s="11"/>
      <c r="G86" s="11"/>
      <c r="H86" s="11"/>
      <c r="I86" s="11"/>
      <c r="J86" s="11"/>
      <c r="K86" s="11"/>
      <c r="M86" s="24">
        <v>17</v>
      </c>
      <c r="N86" s="11"/>
      <c r="O86" s="11"/>
      <c r="P86" s="11"/>
      <c r="Q86" s="11"/>
      <c r="R86" s="11"/>
      <c r="S86" s="11"/>
      <c r="T86" s="11"/>
      <c r="U86" s="11"/>
      <c r="V86" s="11"/>
      <c r="W86" s="11"/>
      <c r="Y86" s="24">
        <v>17</v>
      </c>
      <c r="Z86" s="11" t="str">
        <f t="shared" si="33"/>
        <v/>
      </c>
      <c r="AA86" s="11" t="str">
        <f t="shared" si="26"/>
        <v/>
      </c>
      <c r="AB86" s="11" t="str">
        <f t="shared" si="27"/>
        <v/>
      </c>
      <c r="AC86" s="11" t="str">
        <f t="shared" si="28"/>
        <v/>
      </c>
      <c r="AD86" s="11" t="str">
        <f t="shared" si="29"/>
        <v/>
      </c>
      <c r="AE86" s="11" t="str">
        <f t="shared" si="30"/>
        <v/>
      </c>
      <c r="AF86" s="11" t="str">
        <f t="shared" si="31"/>
        <v/>
      </c>
      <c r="AG86" s="11" t="str">
        <f t="shared" si="32"/>
        <v/>
      </c>
      <c r="AH86" s="11"/>
      <c r="AI86" s="11"/>
    </row>
    <row r="87" spans="1:35" x14ac:dyDescent="0.25">
      <c r="A87" s="24">
        <v>18</v>
      </c>
      <c r="B87" s="11"/>
      <c r="C87" s="11"/>
      <c r="D87" s="11"/>
      <c r="E87" s="11"/>
      <c r="F87" s="11"/>
      <c r="G87" s="11"/>
      <c r="H87" s="11"/>
      <c r="I87" s="11"/>
      <c r="J87" s="11"/>
      <c r="K87" s="11"/>
      <c r="M87" s="24">
        <v>18</v>
      </c>
      <c r="N87" s="11"/>
      <c r="O87" s="11"/>
      <c r="P87" s="11"/>
      <c r="Q87" s="11"/>
      <c r="R87" s="11"/>
      <c r="S87" s="11"/>
      <c r="T87" s="11"/>
      <c r="U87" s="11"/>
      <c r="V87" s="11"/>
      <c r="W87" s="11"/>
      <c r="Y87" s="24">
        <v>18</v>
      </c>
      <c r="Z87" s="11" t="str">
        <f t="shared" si="33"/>
        <v/>
      </c>
      <c r="AA87" s="11" t="str">
        <f t="shared" si="26"/>
        <v/>
      </c>
      <c r="AB87" s="11" t="str">
        <f t="shared" si="27"/>
        <v/>
      </c>
      <c r="AC87" s="11" t="str">
        <f t="shared" si="28"/>
        <v/>
      </c>
      <c r="AD87" s="11" t="str">
        <f t="shared" si="29"/>
        <v/>
      </c>
      <c r="AE87" s="11" t="str">
        <f t="shared" si="30"/>
        <v/>
      </c>
      <c r="AF87" s="11" t="str">
        <f t="shared" si="31"/>
        <v/>
      </c>
      <c r="AG87" s="11" t="str">
        <f t="shared" si="32"/>
        <v/>
      </c>
      <c r="AH87" s="11"/>
      <c r="AI87" s="11"/>
    </row>
    <row r="90" spans="1:35" ht="85.5" x14ac:dyDescent="0.45">
      <c r="A90" s="104" t="s">
        <v>281</v>
      </c>
      <c r="B90" s="22" t="s">
        <v>1</v>
      </c>
      <c r="C90" s="22"/>
      <c r="D90" s="22"/>
      <c r="E90" s="22"/>
      <c r="F90" s="22"/>
      <c r="G90" s="22"/>
      <c r="H90" s="22"/>
      <c r="I90" s="22"/>
      <c r="J90" s="22"/>
      <c r="K90" s="22"/>
      <c r="M90" s="103" t="s">
        <v>282</v>
      </c>
      <c r="N90" s="22" t="s">
        <v>1</v>
      </c>
      <c r="O90" s="22"/>
      <c r="P90" s="22"/>
      <c r="Q90" s="22"/>
      <c r="R90" s="22"/>
      <c r="S90" s="22"/>
      <c r="T90" s="22"/>
      <c r="U90" s="22"/>
      <c r="V90" s="22"/>
      <c r="W90" s="22"/>
      <c r="Y90" s="103" t="s">
        <v>11</v>
      </c>
      <c r="Z90" s="22" t="s">
        <v>1</v>
      </c>
      <c r="AA90" s="22"/>
      <c r="AB90" s="22"/>
      <c r="AC90" s="22"/>
      <c r="AD90" s="22"/>
      <c r="AE90" s="22"/>
      <c r="AF90" s="22"/>
      <c r="AG90" s="22"/>
      <c r="AH90" s="22"/>
      <c r="AI90" s="22"/>
    </row>
    <row r="91" spans="1:35" ht="30" x14ac:dyDescent="0.25">
      <c r="A91" s="22" t="s">
        <v>2</v>
      </c>
      <c r="B91" s="26">
        <v>1</v>
      </c>
      <c r="C91" s="26">
        <v>2</v>
      </c>
      <c r="D91" s="26">
        <v>3</v>
      </c>
      <c r="E91" s="26">
        <v>4</v>
      </c>
      <c r="F91" s="26">
        <v>5</v>
      </c>
      <c r="G91" s="26">
        <v>6</v>
      </c>
      <c r="H91" s="26">
        <v>7</v>
      </c>
      <c r="I91" s="26">
        <v>8</v>
      </c>
      <c r="J91" s="26">
        <v>9</v>
      </c>
      <c r="K91" s="26">
        <v>10</v>
      </c>
      <c r="M91" s="22" t="s">
        <v>2</v>
      </c>
      <c r="N91" s="26">
        <v>1</v>
      </c>
      <c r="O91" s="26">
        <v>2</v>
      </c>
      <c r="P91" s="26">
        <v>3</v>
      </c>
      <c r="Q91" s="26">
        <v>4</v>
      </c>
      <c r="R91" s="26">
        <v>5</v>
      </c>
      <c r="S91" s="26">
        <v>6</v>
      </c>
      <c r="T91" s="26">
        <v>7</v>
      </c>
      <c r="U91" s="26">
        <v>8</v>
      </c>
      <c r="V91" s="26">
        <v>9</v>
      </c>
      <c r="W91" s="26">
        <v>10</v>
      </c>
      <c r="Y91" s="22" t="s">
        <v>2</v>
      </c>
      <c r="Z91" s="26">
        <v>1</v>
      </c>
      <c r="AA91" s="26">
        <v>2</v>
      </c>
      <c r="AB91" s="26">
        <v>3</v>
      </c>
      <c r="AC91" s="26">
        <v>4</v>
      </c>
      <c r="AD91" s="26">
        <v>5</v>
      </c>
      <c r="AE91" s="26">
        <v>6</v>
      </c>
      <c r="AF91" s="26">
        <v>7</v>
      </c>
      <c r="AG91" s="26">
        <v>8</v>
      </c>
      <c r="AH91" s="26">
        <v>9</v>
      </c>
      <c r="AI91" s="26">
        <v>10</v>
      </c>
    </row>
    <row r="92" spans="1:35" x14ac:dyDescent="0.25">
      <c r="A92" s="24">
        <v>1</v>
      </c>
      <c r="B92" s="11"/>
      <c r="C92" s="11"/>
      <c r="D92" s="11"/>
      <c r="E92" s="11"/>
      <c r="F92" s="11"/>
      <c r="G92" s="11"/>
      <c r="H92" s="11"/>
      <c r="I92" s="11"/>
      <c r="J92" s="11"/>
      <c r="K92" s="11"/>
      <c r="M92" s="24">
        <v>1</v>
      </c>
      <c r="N92" s="11"/>
      <c r="O92" s="11"/>
      <c r="P92" s="11"/>
      <c r="Q92" s="11"/>
      <c r="R92" s="11"/>
      <c r="S92" s="11"/>
      <c r="T92" s="11"/>
      <c r="U92" s="11"/>
      <c r="V92" s="11"/>
      <c r="W92" s="11"/>
      <c r="Y92" s="24">
        <v>1</v>
      </c>
      <c r="Z92" s="11" t="str">
        <f>CONCATENATE(B92,$L$4,N92)</f>
        <v/>
      </c>
      <c r="AA92" s="11" t="str">
        <f t="shared" ref="AA92:AA109" si="34">CONCATENATE(C92,$L$4,O92)</f>
        <v/>
      </c>
      <c r="AB92" s="11" t="str">
        <f t="shared" ref="AB92:AB109" si="35">CONCATENATE(D92,$L$4,P92)</f>
        <v/>
      </c>
      <c r="AC92" s="11" t="str">
        <f t="shared" ref="AC92:AC109" si="36">CONCATENATE(E92,$L$4,Q92)</f>
        <v/>
      </c>
      <c r="AD92" s="11" t="str">
        <f t="shared" ref="AD92:AD109" si="37">CONCATENATE(F92,$L$4,R92)</f>
        <v/>
      </c>
      <c r="AE92" s="11" t="str">
        <f t="shared" ref="AE92:AE109" si="38">CONCATENATE(G92,$L$4,S92)</f>
        <v/>
      </c>
      <c r="AF92" s="11" t="str">
        <f t="shared" ref="AF92:AF109" si="39">CONCATENATE(H92,$L$4,T92)</f>
        <v/>
      </c>
      <c r="AG92" s="11" t="str">
        <f t="shared" ref="AG92:AG109" si="40">CONCATENATE(I92,$L$4,U92)</f>
        <v/>
      </c>
      <c r="AH92" s="11"/>
      <c r="AI92" s="11"/>
    </row>
    <row r="93" spans="1:35" x14ac:dyDescent="0.25">
      <c r="A93" s="24">
        <v>2</v>
      </c>
      <c r="B93" s="11"/>
      <c r="C93" s="11"/>
      <c r="D93" s="11"/>
      <c r="E93" s="11"/>
      <c r="F93" s="11"/>
      <c r="G93" s="11"/>
      <c r="H93" s="11"/>
      <c r="I93" s="11"/>
      <c r="J93" s="11"/>
      <c r="K93" s="11"/>
      <c r="M93" s="24">
        <v>2</v>
      </c>
      <c r="N93" s="11"/>
      <c r="O93" s="11"/>
      <c r="P93" s="11"/>
      <c r="Q93" s="11"/>
      <c r="R93" s="11"/>
      <c r="S93" s="11"/>
      <c r="T93" s="11"/>
      <c r="U93" s="11"/>
      <c r="V93" s="11"/>
      <c r="W93" s="11"/>
      <c r="Y93" s="24">
        <v>2</v>
      </c>
      <c r="Z93" s="11" t="str">
        <f t="shared" ref="Z93:Z109" si="41">CONCATENATE(B93,$L$4,N93)</f>
        <v/>
      </c>
      <c r="AA93" s="11" t="str">
        <f t="shared" si="34"/>
        <v/>
      </c>
      <c r="AB93" s="11" t="str">
        <f t="shared" si="35"/>
        <v/>
      </c>
      <c r="AC93" s="11" t="str">
        <f t="shared" si="36"/>
        <v/>
      </c>
      <c r="AD93" s="11" t="str">
        <f t="shared" si="37"/>
        <v/>
      </c>
      <c r="AE93" s="11" t="str">
        <f t="shared" si="38"/>
        <v/>
      </c>
      <c r="AF93" s="11" t="str">
        <f t="shared" si="39"/>
        <v/>
      </c>
      <c r="AG93" s="11" t="str">
        <f t="shared" si="40"/>
        <v/>
      </c>
      <c r="AH93" s="11"/>
      <c r="AI93" s="11"/>
    </row>
    <row r="94" spans="1:35" x14ac:dyDescent="0.25">
      <c r="A94" s="24">
        <v>3</v>
      </c>
      <c r="B94" s="11"/>
      <c r="C94" s="11"/>
      <c r="D94" s="11"/>
      <c r="E94" s="11"/>
      <c r="F94" s="11"/>
      <c r="G94" s="11"/>
      <c r="H94" s="11"/>
      <c r="I94" s="11"/>
      <c r="J94" s="11"/>
      <c r="K94" s="11"/>
      <c r="M94" s="24">
        <v>3</v>
      </c>
      <c r="N94" s="11"/>
      <c r="O94" s="11"/>
      <c r="P94" s="11"/>
      <c r="Q94" s="11"/>
      <c r="R94" s="11"/>
      <c r="S94" s="11"/>
      <c r="T94" s="11"/>
      <c r="U94" s="11"/>
      <c r="V94" s="11"/>
      <c r="W94" s="11"/>
      <c r="Y94" s="24">
        <v>3</v>
      </c>
      <c r="Z94" s="11" t="str">
        <f t="shared" si="41"/>
        <v/>
      </c>
      <c r="AA94" s="11" t="str">
        <f t="shared" si="34"/>
        <v/>
      </c>
      <c r="AB94" s="11" t="str">
        <f t="shared" si="35"/>
        <v/>
      </c>
      <c r="AC94" s="11" t="str">
        <f t="shared" si="36"/>
        <v/>
      </c>
      <c r="AD94" s="11" t="str">
        <f t="shared" si="37"/>
        <v/>
      </c>
      <c r="AE94" s="11" t="str">
        <f t="shared" si="38"/>
        <v/>
      </c>
      <c r="AF94" s="11" t="str">
        <f t="shared" si="39"/>
        <v/>
      </c>
      <c r="AG94" s="11" t="str">
        <f t="shared" si="40"/>
        <v/>
      </c>
      <c r="AH94" s="11"/>
      <c r="AI94" s="11"/>
    </row>
    <row r="95" spans="1:35" x14ac:dyDescent="0.25">
      <c r="A95" s="24">
        <v>4</v>
      </c>
      <c r="B95" s="11"/>
      <c r="C95" s="11"/>
      <c r="D95" s="11"/>
      <c r="E95" s="11"/>
      <c r="F95" s="11"/>
      <c r="G95" s="11"/>
      <c r="H95" s="11"/>
      <c r="I95" s="11"/>
      <c r="J95" s="11"/>
      <c r="K95" s="11"/>
      <c r="M95" s="24">
        <v>4</v>
      </c>
      <c r="N95" s="11"/>
      <c r="O95" s="11"/>
      <c r="P95" s="11"/>
      <c r="Q95" s="11"/>
      <c r="R95" s="11"/>
      <c r="S95" s="11"/>
      <c r="T95" s="11"/>
      <c r="U95" s="11"/>
      <c r="V95" s="11"/>
      <c r="W95" s="11"/>
      <c r="Y95" s="24">
        <v>4</v>
      </c>
      <c r="Z95" s="11" t="str">
        <f t="shared" si="41"/>
        <v/>
      </c>
      <c r="AA95" s="11" t="str">
        <f t="shared" si="34"/>
        <v/>
      </c>
      <c r="AB95" s="11" t="str">
        <f t="shared" si="35"/>
        <v/>
      </c>
      <c r="AC95" s="11" t="str">
        <f t="shared" si="36"/>
        <v/>
      </c>
      <c r="AD95" s="11" t="str">
        <f t="shared" si="37"/>
        <v/>
      </c>
      <c r="AE95" s="11" t="str">
        <f t="shared" si="38"/>
        <v/>
      </c>
      <c r="AF95" s="11" t="str">
        <f t="shared" si="39"/>
        <v/>
      </c>
      <c r="AG95" s="11" t="str">
        <f t="shared" si="40"/>
        <v/>
      </c>
      <c r="AH95" s="11"/>
      <c r="AI95" s="11"/>
    </row>
    <row r="96" spans="1:35" x14ac:dyDescent="0.25">
      <c r="A96" s="24">
        <v>5</v>
      </c>
      <c r="B96" s="11"/>
      <c r="C96" s="11"/>
      <c r="D96" s="11"/>
      <c r="E96" s="11"/>
      <c r="F96" s="11"/>
      <c r="G96" s="11"/>
      <c r="H96" s="11"/>
      <c r="I96" s="11"/>
      <c r="J96" s="11"/>
      <c r="K96" s="11"/>
      <c r="M96" s="24">
        <v>5</v>
      </c>
      <c r="N96" s="11"/>
      <c r="O96" s="11"/>
      <c r="P96" s="11"/>
      <c r="Q96" s="11"/>
      <c r="R96" s="11"/>
      <c r="S96" s="11"/>
      <c r="T96" s="11"/>
      <c r="U96" s="11"/>
      <c r="V96" s="11"/>
      <c r="W96" s="11"/>
      <c r="Y96" s="24">
        <v>5</v>
      </c>
      <c r="Z96" s="11" t="str">
        <f t="shared" si="41"/>
        <v/>
      </c>
      <c r="AA96" s="11" t="str">
        <f t="shared" si="34"/>
        <v/>
      </c>
      <c r="AB96" s="11" t="str">
        <f t="shared" si="35"/>
        <v/>
      </c>
      <c r="AC96" s="11" t="str">
        <f t="shared" si="36"/>
        <v/>
      </c>
      <c r="AD96" s="11" t="str">
        <f t="shared" si="37"/>
        <v/>
      </c>
      <c r="AE96" s="11" t="str">
        <f t="shared" si="38"/>
        <v/>
      </c>
      <c r="AF96" s="11" t="str">
        <f t="shared" si="39"/>
        <v/>
      </c>
      <c r="AG96" s="11" t="str">
        <f t="shared" si="40"/>
        <v/>
      </c>
      <c r="AH96" s="11"/>
      <c r="AI96" s="11"/>
    </row>
    <row r="97" spans="1:35" x14ac:dyDescent="0.25">
      <c r="A97" s="24">
        <v>6</v>
      </c>
      <c r="B97" s="11"/>
      <c r="C97" s="11"/>
      <c r="D97" s="11"/>
      <c r="E97" s="11"/>
      <c r="F97" s="11"/>
      <c r="G97" s="11"/>
      <c r="H97" s="11"/>
      <c r="I97" s="11"/>
      <c r="J97" s="11"/>
      <c r="K97" s="11"/>
      <c r="M97" s="24">
        <v>6</v>
      </c>
      <c r="N97" s="11"/>
      <c r="O97" s="11"/>
      <c r="P97" s="11"/>
      <c r="Q97" s="11"/>
      <c r="R97" s="11"/>
      <c r="S97" s="11"/>
      <c r="T97" s="11"/>
      <c r="U97" s="11"/>
      <c r="V97" s="11"/>
      <c r="W97" s="11"/>
      <c r="Y97" s="24">
        <v>6</v>
      </c>
      <c r="Z97" s="11" t="str">
        <f t="shared" si="41"/>
        <v/>
      </c>
      <c r="AA97" s="11" t="str">
        <f t="shared" si="34"/>
        <v/>
      </c>
      <c r="AB97" s="11" t="str">
        <f t="shared" si="35"/>
        <v/>
      </c>
      <c r="AC97" s="11" t="str">
        <f t="shared" si="36"/>
        <v/>
      </c>
      <c r="AD97" s="11" t="str">
        <f t="shared" si="37"/>
        <v/>
      </c>
      <c r="AE97" s="11" t="str">
        <f t="shared" si="38"/>
        <v/>
      </c>
      <c r="AF97" s="11" t="str">
        <f t="shared" si="39"/>
        <v/>
      </c>
      <c r="AG97" s="11" t="str">
        <f t="shared" si="40"/>
        <v/>
      </c>
      <c r="AH97" s="11"/>
      <c r="AI97" s="11"/>
    </row>
    <row r="98" spans="1:35" x14ac:dyDescent="0.25">
      <c r="A98" s="24">
        <v>7</v>
      </c>
      <c r="B98" s="11"/>
      <c r="C98" s="11"/>
      <c r="D98" s="11"/>
      <c r="E98" s="11"/>
      <c r="F98" s="11"/>
      <c r="G98" s="11"/>
      <c r="H98" s="11"/>
      <c r="I98" s="11"/>
      <c r="J98" s="11"/>
      <c r="K98" s="11"/>
      <c r="M98" s="24">
        <v>7</v>
      </c>
      <c r="N98" s="11"/>
      <c r="O98" s="11"/>
      <c r="P98" s="11"/>
      <c r="Q98" s="11"/>
      <c r="R98" s="11"/>
      <c r="S98" s="11"/>
      <c r="T98" s="11"/>
      <c r="U98" s="11"/>
      <c r="V98" s="11"/>
      <c r="W98" s="11"/>
      <c r="Y98" s="24">
        <v>7</v>
      </c>
      <c r="Z98" s="11" t="str">
        <f t="shared" si="41"/>
        <v/>
      </c>
      <c r="AA98" s="11" t="str">
        <f t="shared" si="34"/>
        <v/>
      </c>
      <c r="AB98" s="11" t="str">
        <f t="shared" si="35"/>
        <v/>
      </c>
      <c r="AC98" s="11" t="str">
        <f t="shared" si="36"/>
        <v/>
      </c>
      <c r="AD98" s="11" t="str">
        <f t="shared" si="37"/>
        <v/>
      </c>
      <c r="AE98" s="11" t="str">
        <f t="shared" si="38"/>
        <v/>
      </c>
      <c r="AF98" s="11" t="str">
        <f t="shared" si="39"/>
        <v/>
      </c>
      <c r="AG98" s="11" t="str">
        <f t="shared" si="40"/>
        <v/>
      </c>
      <c r="AH98" s="11"/>
      <c r="AI98" s="11"/>
    </row>
    <row r="99" spans="1:35" x14ac:dyDescent="0.25">
      <c r="A99" s="24">
        <v>8</v>
      </c>
      <c r="B99" s="11"/>
      <c r="C99" s="11"/>
      <c r="D99" s="11"/>
      <c r="E99" s="11"/>
      <c r="F99" s="11"/>
      <c r="G99" s="11"/>
      <c r="H99" s="11"/>
      <c r="I99" s="11"/>
      <c r="J99" s="11"/>
      <c r="K99" s="11"/>
      <c r="M99" s="24">
        <v>8</v>
      </c>
      <c r="N99" s="11"/>
      <c r="O99" s="11"/>
      <c r="P99" s="11"/>
      <c r="Q99" s="11"/>
      <c r="R99" s="11"/>
      <c r="S99" s="11"/>
      <c r="T99" s="11"/>
      <c r="U99" s="11"/>
      <c r="V99" s="11"/>
      <c r="W99" s="11"/>
      <c r="Y99" s="24">
        <v>8</v>
      </c>
      <c r="Z99" s="11" t="str">
        <f t="shared" si="41"/>
        <v/>
      </c>
      <c r="AA99" s="11" t="str">
        <f t="shared" si="34"/>
        <v/>
      </c>
      <c r="AB99" s="11" t="str">
        <f t="shared" si="35"/>
        <v/>
      </c>
      <c r="AC99" s="11" t="str">
        <f t="shared" si="36"/>
        <v/>
      </c>
      <c r="AD99" s="11" t="str">
        <f t="shared" si="37"/>
        <v/>
      </c>
      <c r="AE99" s="11" t="str">
        <f t="shared" si="38"/>
        <v/>
      </c>
      <c r="AF99" s="11" t="str">
        <f t="shared" si="39"/>
        <v/>
      </c>
      <c r="AG99" s="11" t="str">
        <f t="shared" si="40"/>
        <v/>
      </c>
      <c r="AH99" s="11"/>
      <c r="AI99" s="11"/>
    </row>
    <row r="100" spans="1:35" x14ac:dyDescent="0.25">
      <c r="A100" s="24">
        <v>9</v>
      </c>
      <c r="B100" s="11"/>
      <c r="C100" s="11"/>
      <c r="D100" s="11"/>
      <c r="E100" s="11"/>
      <c r="F100" s="11"/>
      <c r="G100" s="11"/>
      <c r="H100" s="11"/>
      <c r="I100" s="11"/>
      <c r="J100" s="11"/>
      <c r="K100" s="11"/>
      <c r="M100" s="24">
        <v>9</v>
      </c>
      <c r="N100" s="11"/>
      <c r="O100" s="11"/>
      <c r="P100" s="11"/>
      <c r="Q100" s="11"/>
      <c r="R100" s="11"/>
      <c r="S100" s="11"/>
      <c r="T100" s="11"/>
      <c r="U100" s="11"/>
      <c r="V100" s="11"/>
      <c r="W100" s="11"/>
      <c r="Y100" s="24">
        <v>9</v>
      </c>
      <c r="Z100" s="11" t="str">
        <f t="shared" si="41"/>
        <v/>
      </c>
      <c r="AA100" s="11" t="str">
        <f t="shared" si="34"/>
        <v/>
      </c>
      <c r="AB100" s="11" t="str">
        <f t="shared" si="35"/>
        <v/>
      </c>
      <c r="AC100" s="11" t="str">
        <f t="shared" si="36"/>
        <v/>
      </c>
      <c r="AD100" s="11" t="str">
        <f t="shared" si="37"/>
        <v/>
      </c>
      <c r="AE100" s="11" t="str">
        <f t="shared" si="38"/>
        <v/>
      </c>
      <c r="AF100" s="11" t="str">
        <f t="shared" si="39"/>
        <v/>
      </c>
      <c r="AG100" s="11" t="str">
        <f t="shared" si="40"/>
        <v/>
      </c>
      <c r="AH100" s="11"/>
      <c r="AI100" s="11"/>
    </row>
    <row r="101" spans="1:35" x14ac:dyDescent="0.25">
      <c r="A101" s="24">
        <v>10</v>
      </c>
      <c r="B101" s="11"/>
      <c r="C101" s="11"/>
      <c r="D101" s="11"/>
      <c r="E101" s="11"/>
      <c r="F101" s="11"/>
      <c r="G101" s="11"/>
      <c r="H101" s="11"/>
      <c r="I101" s="11"/>
      <c r="J101" s="11"/>
      <c r="K101" s="11"/>
      <c r="M101" s="24">
        <v>10</v>
      </c>
      <c r="N101" s="11"/>
      <c r="O101" s="11"/>
      <c r="P101" s="11"/>
      <c r="Q101" s="11"/>
      <c r="R101" s="11"/>
      <c r="S101" s="11"/>
      <c r="T101" s="11"/>
      <c r="U101" s="11"/>
      <c r="V101" s="11"/>
      <c r="W101" s="11"/>
      <c r="Y101" s="24">
        <v>10</v>
      </c>
      <c r="Z101" s="11" t="str">
        <f t="shared" si="41"/>
        <v/>
      </c>
      <c r="AA101" s="11" t="str">
        <f t="shared" si="34"/>
        <v/>
      </c>
      <c r="AB101" s="11" t="str">
        <f t="shared" si="35"/>
        <v/>
      </c>
      <c r="AC101" s="11" t="str">
        <f t="shared" si="36"/>
        <v/>
      </c>
      <c r="AD101" s="11" t="str">
        <f t="shared" si="37"/>
        <v/>
      </c>
      <c r="AE101" s="11" t="str">
        <f t="shared" si="38"/>
        <v/>
      </c>
      <c r="AF101" s="11" t="str">
        <f t="shared" si="39"/>
        <v/>
      </c>
      <c r="AG101" s="11" t="str">
        <f t="shared" si="40"/>
        <v/>
      </c>
      <c r="AH101" s="11"/>
      <c r="AI101" s="11"/>
    </row>
    <row r="102" spans="1:35" x14ac:dyDescent="0.25">
      <c r="A102" s="24">
        <v>11</v>
      </c>
      <c r="B102" s="11"/>
      <c r="C102" s="11"/>
      <c r="D102" s="11"/>
      <c r="E102" s="11"/>
      <c r="F102" s="11"/>
      <c r="G102" s="11"/>
      <c r="H102" s="11"/>
      <c r="I102" s="11"/>
      <c r="J102" s="11"/>
      <c r="K102" s="11"/>
      <c r="M102" s="24">
        <v>11</v>
      </c>
      <c r="N102" s="11"/>
      <c r="O102" s="11"/>
      <c r="P102" s="11"/>
      <c r="Q102" s="11"/>
      <c r="R102" s="11"/>
      <c r="S102" s="11"/>
      <c r="T102" s="11"/>
      <c r="U102" s="11"/>
      <c r="V102" s="11"/>
      <c r="W102" s="11"/>
      <c r="Y102" s="24">
        <v>11</v>
      </c>
      <c r="Z102" s="11" t="str">
        <f t="shared" si="41"/>
        <v/>
      </c>
      <c r="AA102" s="11" t="str">
        <f t="shared" si="34"/>
        <v/>
      </c>
      <c r="AB102" s="11" t="str">
        <f t="shared" si="35"/>
        <v/>
      </c>
      <c r="AC102" s="11" t="str">
        <f t="shared" si="36"/>
        <v/>
      </c>
      <c r="AD102" s="11" t="str">
        <f t="shared" si="37"/>
        <v/>
      </c>
      <c r="AE102" s="11" t="str">
        <f t="shared" si="38"/>
        <v/>
      </c>
      <c r="AF102" s="11" t="str">
        <f t="shared" si="39"/>
        <v/>
      </c>
      <c r="AG102" s="11" t="str">
        <f t="shared" si="40"/>
        <v/>
      </c>
      <c r="AH102" s="11"/>
      <c r="AI102" s="11"/>
    </row>
    <row r="103" spans="1:35" x14ac:dyDescent="0.25">
      <c r="A103" s="24">
        <v>12</v>
      </c>
      <c r="B103" s="11"/>
      <c r="C103" s="11"/>
      <c r="D103" s="11"/>
      <c r="E103" s="11"/>
      <c r="F103" s="11"/>
      <c r="G103" s="11"/>
      <c r="H103" s="11"/>
      <c r="I103" s="11"/>
      <c r="J103" s="11"/>
      <c r="K103" s="11"/>
      <c r="M103" s="24">
        <v>12</v>
      </c>
      <c r="N103" s="11"/>
      <c r="O103" s="11"/>
      <c r="P103" s="11"/>
      <c r="Q103" s="11"/>
      <c r="R103" s="11"/>
      <c r="S103" s="11"/>
      <c r="T103" s="11"/>
      <c r="U103" s="11"/>
      <c r="V103" s="11"/>
      <c r="W103" s="11"/>
      <c r="Y103" s="24">
        <v>12</v>
      </c>
      <c r="Z103" s="11" t="str">
        <f t="shared" si="41"/>
        <v/>
      </c>
      <c r="AA103" s="11" t="str">
        <f t="shared" si="34"/>
        <v/>
      </c>
      <c r="AB103" s="11" t="str">
        <f t="shared" si="35"/>
        <v/>
      </c>
      <c r="AC103" s="11" t="str">
        <f t="shared" si="36"/>
        <v/>
      </c>
      <c r="AD103" s="11" t="str">
        <f t="shared" si="37"/>
        <v/>
      </c>
      <c r="AE103" s="11" t="str">
        <f t="shared" si="38"/>
        <v/>
      </c>
      <c r="AF103" s="11" t="str">
        <f t="shared" si="39"/>
        <v/>
      </c>
      <c r="AG103" s="11" t="str">
        <f t="shared" si="40"/>
        <v/>
      </c>
      <c r="AH103" s="11"/>
      <c r="AI103" s="11"/>
    </row>
    <row r="104" spans="1:35" x14ac:dyDescent="0.25">
      <c r="A104" s="24">
        <v>13</v>
      </c>
      <c r="B104" s="11"/>
      <c r="C104" s="11"/>
      <c r="D104" s="11"/>
      <c r="E104" s="11"/>
      <c r="F104" s="11"/>
      <c r="G104" s="11"/>
      <c r="H104" s="11"/>
      <c r="I104" s="11"/>
      <c r="J104" s="11"/>
      <c r="K104" s="11"/>
      <c r="M104" s="24">
        <v>13</v>
      </c>
      <c r="N104" s="11"/>
      <c r="O104" s="11"/>
      <c r="P104" s="11"/>
      <c r="Q104" s="11"/>
      <c r="R104" s="11"/>
      <c r="S104" s="11"/>
      <c r="T104" s="11"/>
      <c r="U104" s="11"/>
      <c r="V104" s="11"/>
      <c r="W104" s="11"/>
      <c r="Y104" s="24">
        <v>13</v>
      </c>
      <c r="Z104" s="11" t="str">
        <f t="shared" si="41"/>
        <v/>
      </c>
      <c r="AA104" s="11" t="str">
        <f t="shared" si="34"/>
        <v/>
      </c>
      <c r="AB104" s="11" t="str">
        <f t="shared" si="35"/>
        <v/>
      </c>
      <c r="AC104" s="11" t="str">
        <f t="shared" si="36"/>
        <v/>
      </c>
      <c r="AD104" s="11" t="str">
        <f t="shared" si="37"/>
        <v/>
      </c>
      <c r="AE104" s="11" t="str">
        <f t="shared" si="38"/>
        <v/>
      </c>
      <c r="AF104" s="11" t="str">
        <f t="shared" si="39"/>
        <v/>
      </c>
      <c r="AG104" s="11" t="str">
        <f t="shared" si="40"/>
        <v/>
      </c>
      <c r="AH104" s="11"/>
      <c r="AI104" s="11"/>
    </row>
    <row r="105" spans="1:35" x14ac:dyDescent="0.25">
      <c r="A105" s="24">
        <v>14</v>
      </c>
      <c r="B105" s="11"/>
      <c r="C105" s="11"/>
      <c r="D105" s="11"/>
      <c r="E105" s="11"/>
      <c r="F105" s="11"/>
      <c r="G105" s="11"/>
      <c r="H105" s="11"/>
      <c r="I105" s="11"/>
      <c r="J105" s="11"/>
      <c r="K105" s="11"/>
      <c r="M105" s="24">
        <v>14</v>
      </c>
      <c r="N105" s="11"/>
      <c r="O105" s="11"/>
      <c r="P105" s="11"/>
      <c r="Q105" s="11"/>
      <c r="R105" s="11"/>
      <c r="S105" s="11"/>
      <c r="T105" s="11"/>
      <c r="U105" s="11"/>
      <c r="V105" s="11"/>
      <c r="W105" s="11"/>
      <c r="Y105" s="24">
        <v>14</v>
      </c>
      <c r="Z105" s="11" t="str">
        <f t="shared" si="41"/>
        <v/>
      </c>
      <c r="AA105" s="11" t="str">
        <f t="shared" si="34"/>
        <v/>
      </c>
      <c r="AB105" s="11" t="str">
        <f t="shared" si="35"/>
        <v/>
      </c>
      <c r="AC105" s="11" t="str">
        <f t="shared" si="36"/>
        <v/>
      </c>
      <c r="AD105" s="11" t="str">
        <f t="shared" si="37"/>
        <v/>
      </c>
      <c r="AE105" s="11" t="str">
        <f t="shared" si="38"/>
        <v/>
      </c>
      <c r="AF105" s="11" t="str">
        <f t="shared" si="39"/>
        <v/>
      </c>
      <c r="AG105" s="11" t="str">
        <f t="shared" si="40"/>
        <v/>
      </c>
      <c r="AH105" s="11"/>
      <c r="AI105" s="11"/>
    </row>
    <row r="106" spans="1:35" x14ac:dyDescent="0.25">
      <c r="A106" s="24">
        <v>15</v>
      </c>
      <c r="B106" s="11"/>
      <c r="C106" s="11"/>
      <c r="D106" s="11"/>
      <c r="E106" s="11"/>
      <c r="F106" s="11"/>
      <c r="G106" s="11"/>
      <c r="H106" s="11"/>
      <c r="I106" s="11"/>
      <c r="J106" s="11"/>
      <c r="K106" s="11"/>
      <c r="M106" s="24">
        <v>15</v>
      </c>
      <c r="N106" s="11"/>
      <c r="O106" s="11"/>
      <c r="P106" s="11"/>
      <c r="Q106" s="11"/>
      <c r="R106" s="11"/>
      <c r="S106" s="11"/>
      <c r="T106" s="11"/>
      <c r="U106" s="11"/>
      <c r="V106" s="11"/>
      <c r="W106" s="11"/>
      <c r="Y106" s="24">
        <v>15</v>
      </c>
      <c r="Z106" s="11" t="str">
        <f t="shared" si="41"/>
        <v/>
      </c>
      <c r="AA106" s="11" t="str">
        <f t="shared" si="34"/>
        <v/>
      </c>
      <c r="AB106" s="11" t="str">
        <f t="shared" si="35"/>
        <v/>
      </c>
      <c r="AC106" s="11" t="str">
        <f t="shared" si="36"/>
        <v/>
      </c>
      <c r="AD106" s="11" t="str">
        <f t="shared" si="37"/>
        <v/>
      </c>
      <c r="AE106" s="11" t="str">
        <f t="shared" si="38"/>
        <v/>
      </c>
      <c r="AF106" s="11" t="str">
        <f t="shared" si="39"/>
        <v/>
      </c>
      <c r="AG106" s="11" t="str">
        <f t="shared" si="40"/>
        <v/>
      </c>
      <c r="AH106" s="11"/>
      <c r="AI106" s="11"/>
    </row>
    <row r="107" spans="1:35" x14ac:dyDescent="0.25">
      <c r="A107" s="24">
        <v>16</v>
      </c>
      <c r="B107" s="11"/>
      <c r="C107" s="11"/>
      <c r="D107" s="11"/>
      <c r="E107" s="11"/>
      <c r="F107" s="11"/>
      <c r="G107" s="11"/>
      <c r="H107" s="11"/>
      <c r="I107" s="11"/>
      <c r="J107" s="11"/>
      <c r="K107" s="11"/>
      <c r="M107" s="24">
        <v>16</v>
      </c>
      <c r="N107" s="11"/>
      <c r="O107" s="11"/>
      <c r="P107" s="11"/>
      <c r="Q107" s="11"/>
      <c r="R107" s="11"/>
      <c r="S107" s="11"/>
      <c r="T107" s="11"/>
      <c r="U107" s="11"/>
      <c r="V107" s="11"/>
      <c r="W107" s="11"/>
      <c r="Y107" s="24">
        <v>16</v>
      </c>
      <c r="Z107" s="11" t="str">
        <f t="shared" si="41"/>
        <v/>
      </c>
      <c r="AA107" s="11" t="str">
        <f t="shared" si="34"/>
        <v/>
      </c>
      <c r="AB107" s="11" t="str">
        <f t="shared" si="35"/>
        <v/>
      </c>
      <c r="AC107" s="11" t="str">
        <f t="shared" si="36"/>
        <v/>
      </c>
      <c r="AD107" s="11" t="str">
        <f t="shared" si="37"/>
        <v/>
      </c>
      <c r="AE107" s="11" t="str">
        <f t="shared" si="38"/>
        <v/>
      </c>
      <c r="AF107" s="11" t="str">
        <f t="shared" si="39"/>
        <v/>
      </c>
      <c r="AG107" s="11" t="str">
        <f t="shared" si="40"/>
        <v/>
      </c>
      <c r="AH107" s="11"/>
      <c r="AI107" s="11"/>
    </row>
    <row r="108" spans="1:35" x14ac:dyDescent="0.25">
      <c r="A108" s="24">
        <v>17</v>
      </c>
      <c r="B108" s="11"/>
      <c r="C108" s="11"/>
      <c r="D108" s="11"/>
      <c r="E108" s="11"/>
      <c r="F108" s="11"/>
      <c r="G108" s="11"/>
      <c r="H108" s="11"/>
      <c r="I108" s="11"/>
      <c r="J108" s="11"/>
      <c r="K108" s="11"/>
      <c r="M108" s="24">
        <v>17</v>
      </c>
      <c r="N108" s="11"/>
      <c r="O108" s="11"/>
      <c r="P108" s="11"/>
      <c r="Q108" s="11"/>
      <c r="R108" s="11"/>
      <c r="S108" s="11"/>
      <c r="T108" s="11"/>
      <c r="U108" s="11"/>
      <c r="V108" s="11"/>
      <c r="W108" s="11"/>
      <c r="Y108" s="24">
        <v>17</v>
      </c>
      <c r="Z108" s="11" t="str">
        <f t="shared" si="41"/>
        <v/>
      </c>
      <c r="AA108" s="11" t="str">
        <f t="shared" si="34"/>
        <v/>
      </c>
      <c r="AB108" s="11" t="str">
        <f t="shared" si="35"/>
        <v/>
      </c>
      <c r="AC108" s="11" t="str">
        <f t="shared" si="36"/>
        <v/>
      </c>
      <c r="AD108" s="11" t="str">
        <f t="shared" si="37"/>
        <v/>
      </c>
      <c r="AE108" s="11" t="str">
        <f t="shared" si="38"/>
        <v/>
      </c>
      <c r="AF108" s="11" t="str">
        <f t="shared" si="39"/>
        <v/>
      </c>
      <c r="AG108" s="11" t="str">
        <f t="shared" si="40"/>
        <v/>
      </c>
      <c r="AH108" s="11"/>
      <c r="AI108" s="11"/>
    </row>
    <row r="109" spans="1:35" x14ac:dyDescent="0.25">
      <c r="A109" s="24">
        <v>18</v>
      </c>
      <c r="B109" s="11"/>
      <c r="C109" s="11"/>
      <c r="D109" s="11"/>
      <c r="E109" s="11"/>
      <c r="F109" s="11"/>
      <c r="G109" s="11"/>
      <c r="H109" s="11"/>
      <c r="I109" s="11"/>
      <c r="J109" s="11"/>
      <c r="K109" s="11"/>
      <c r="M109" s="24">
        <v>18</v>
      </c>
      <c r="N109" s="11"/>
      <c r="O109" s="11"/>
      <c r="P109" s="11"/>
      <c r="Q109" s="11"/>
      <c r="R109" s="11"/>
      <c r="S109" s="11"/>
      <c r="T109" s="11"/>
      <c r="U109" s="11"/>
      <c r="V109" s="11"/>
      <c r="W109" s="11"/>
      <c r="Y109" s="24">
        <v>18</v>
      </c>
      <c r="Z109" s="11" t="str">
        <f t="shared" si="41"/>
        <v/>
      </c>
      <c r="AA109" s="11" t="str">
        <f t="shared" si="34"/>
        <v/>
      </c>
      <c r="AB109" s="11" t="str">
        <f t="shared" si="35"/>
        <v/>
      </c>
      <c r="AC109" s="11" t="str">
        <f t="shared" si="36"/>
        <v/>
      </c>
      <c r="AD109" s="11" t="str">
        <f t="shared" si="37"/>
        <v/>
      </c>
      <c r="AE109" s="11" t="str">
        <f t="shared" si="38"/>
        <v/>
      </c>
      <c r="AF109" s="11" t="str">
        <f t="shared" si="39"/>
        <v/>
      </c>
      <c r="AG109" s="11" t="str">
        <f t="shared" si="40"/>
        <v/>
      </c>
      <c r="AH109" s="11"/>
      <c r="AI109" s="11"/>
    </row>
    <row r="112" spans="1:35" ht="57" x14ac:dyDescent="0.45">
      <c r="A112" s="104" t="s">
        <v>283</v>
      </c>
      <c r="B112" s="22" t="s">
        <v>1</v>
      </c>
      <c r="C112" s="22"/>
      <c r="D112" s="22"/>
      <c r="E112" s="22"/>
      <c r="F112" s="22"/>
      <c r="G112" s="22"/>
      <c r="H112" s="22"/>
      <c r="I112" s="22"/>
      <c r="J112" s="22"/>
      <c r="K112" s="22"/>
      <c r="M112" s="103" t="s">
        <v>284</v>
      </c>
      <c r="N112" s="22" t="s">
        <v>1</v>
      </c>
      <c r="O112" s="22"/>
      <c r="P112" s="22"/>
      <c r="Q112" s="22"/>
      <c r="R112" s="22"/>
      <c r="S112" s="22"/>
      <c r="T112" s="22"/>
      <c r="U112" s="22"/>
      <c r="V112" s="22"/>
      <c r="W112" s="22"/>
      <c r="Y112" s="103" t="s">
        <v>285</v>
      </c>
      <c r="Z112" s="22" t="s">
        <v>1</v>
      </c>
      <c r="AA112" s="22"/>
      <c r="AB112" s="22"/>
      <c r="AC112" s="22"/>
      <c r="AD112" s="22"/>
      <c r="AE112" s="22"/>
      <c r="AF112" s="22"/>
      <c r="AG112" s="22"/>
      <c r="AH112" s="22"/>
      <c r="AI112" s="22"/>
    </row>
    <row r="113" spans="1:35" ht="30" x14ac:dyDescent="0.25">
      <c r="A113" s="22" t="s">
        <v>2</v>
      </c>
      <c r="B113" s="26">
        <v>1</v>
      </c>
      <c r="C113" s="26">
        <v>2</v>
      </c>
      <c r="D113" s="26">
        <v>3</v>
      </c>
      <c r="E113" s="26">
        <v>4</v>
      </c>
      <c r="F113" s="26">
        <v>5</v>
      </c>
      <c r="G113" s="26">
        <v>6</v>
      </c>
      <c r="H113" s="26">
        <v>7</v>
      </c>
      <c r="I113" s="26">
        <v>8</v>
      </c>
      <c r="J113" s="26">
        <v>9</v>
      </c>
      <c r="K113" s="26">
        <v>10</v>
      </c>
      <c r="M113" s="22" t="s">
        <v>2</v>
      </c>
      <c r="N113" s="26">
        <v>1</v>
      </c>
      <c r="O113" s="26">
        <v>2</v>
      </c>
      <c r="P113" s="26">
        <v>3</v>
      </c>
      <c r="Q113" s="26">
        <v>4</v>
      </c>
      <c r="R113" s="26">
        <v>5</v>
      </c>
      <c r="S113" s="26">
        <v>6</v>
      </c>
      <c r="T113" s="26">
        <v>7</v>
      </c>
      <c r="U113" s="26">
        <v>8</v>
      </c>
      <c r="V113" s="26">
        <v>9</v>
      </c>
      <c r="W113" s="26">
        <v>10</v>
      </c>
      <c r="Y113" s="22" t="s">
        <v>2</v>
      </c>
      <c r="Z113" s="26">
        <v>1</v>
      </c>
      <c r="AA113" s="26">
        <v>2</v>
      </c>
      <c r="AB113" s="26">
        <v>3</v>
      </c>
      <c r="AC113" s="26">
        <v>4</v>
      </c>
      <c r="AD113" s="26">
        <v>5</v>
      </c>
      <c r="AE113" s="26">
        <v>6</v>
      </c>
      <c r="AF113" s="26">
        <v>7</v>
      </c>
      <c r="AG113" s="26">
        <v>8</v>
      </c>
      <c r="AH113" s="26">
        <v>9</v>
      </c>
      <c r="AI113" s="26">
        <v>10</v>
      </c>
    </row>
    <row r="114" spans="1:35" x14ac:dyDescent="0.25">
      <c r="A114" s="24">
        <v>1</v>
      </c>
      <c r="B114" s="11"/>
      <c r="C114" s="11"/>
      <c r="D114" s="11"/>
      <c r="E114" s="11"/>
      <c r="F114" s="11"/>
      <c r="G114" s="11"/>
      <c r="H114" s="11"/>
      <c r="I114" s="11"/>
      <c r="J114" s="11"/>
      <c r="K114" s="11"/>
      <c r="M114" s="24">
        <v>1</v>
      </c>
      <c r="N114" s="11"/>
      <c r="O114" s="11"/>
      <c r="P114" s="11"/>
      <c r="Q114" s="11"/>
      <c r="R114" s="11"/>
      <c r="S114" s="11"/>
      <c r="T114" s="11"/>
      <c r="U114" s="11"/>
      <c r="V114" s="11"/>
      <c r="W114" s="11"/>
      <c r="Y114" s="24">
        <v>1</v>
      </c>
      <c r="Z114" s="11" t="str">
        <f>CONCATENATE(B114,$L$4,N114)</f>
        <v/>
      </c>
      <c r="AA114" s="11" t="str">
        <f t="shared" ref="AA114:AA131" si="42">CONCATENATE(C114,$L$4,O114)</f>
        <v/>
      </c>
      <c r="AB114" s="11" t="str">
        <f t="shared" ref="AB114:AB131" si="43">CONCATENATE(D114,$L$4,P114)</f>
        <v/>
      </c>
      <c r="AC114" s="11" t="str">
        <f t="shared" ref="AC114:AC131" si="44">CONCATENATE(E114,$L$4,Q114)</f>
        <v/>
      </c>
      <c r="AD114" s="11" t="str">
        <f t="shared" ref="AD114:AD131" si="45">CONCATENATE(F114,$L$4,R114)</f>
        <v/>
      </c>
      <c r="AE114" s="11" t="str">
        <f t="shared" ref="AE114:AE131" si="46">CONCATENATE(G114,$L$4,S114)</f>
        <v/>
      </c>
      <c r="AF114" s="11" t="str">
        <f t="shared" ref="AF114:AF131" si="47">CONCATENATE(H114,$L$4,T114)</f>
        <v/>
      </c>
      <c r="AG114" s="11" t="str">
        <f t="shared" ref="AG114:AG131" si="48">CONCATENATE(I114,$L$4,U114)</f>
        <v/>
      </c>
      <c r="AH114" s="11"/>
      <c r="AI114" s="11"/>
    </row>
    <row r="115" spans="1:35" x14ac:dyDescent="0.25">
      <c r="A115" s="24">
        <v>2</v>
      </c>
      <c r="B115" s="11"/>
      <c r="C115" s="11"/>
      <c r="D115" s="11"/>
      <c r="E115" s="11"/>
      <c r="F115" s="11"/>
      <c r="G115" s="11"/>
      <c r="H115" s="11"/>
      <c r="I115" s="11"/>
      <c r="J115" s="11"/>
      <c r="K115" s="11"/>
      <c r="M115" s="24">
        <v>2</v>
      </c>
      <c r="N115" s="11"/>
      <c r="O115" s="11"/>
      <c r="P115" s="11"/>
      <c r="Q115" s="11"/>
      <c r="R115" s="11"/>
      <c r="S115" s="11"/>
      <c r="T115" s="11"/>
      <c r="U115" s="11"/>
      <c r="V115" s="11"/>
      <c r="W115" s="11"/>
      <c r="Y115" s="24">
        <v>2</v>
      </c>
      <c r="Z115" s="11" t="str">
        <f t="shared" ref="Z115:Z131" si="49">CONCATENATE(B115,$L$4,N115)</f>
        <v/>
      </c>
      <c r="AA115" s="11" t="str">
        <f t="shared" si="42"/>
        <v/>
      </c>
      <c r="AB115" s="11" t="str">
        <f t="shared" si="43"/>
        <v/>
      </c>
      <c r="AC115" s="11" t="str">
        <f t="shared" si="44"/>
        <v/>
      </c>
      <c r="AD115" s="11" t="str">
        <f t="shared" si="45"/>
        <v/>
      </c>
      <c r="AE115" s="11" t="str">
        <f t="shared" si="46"/>
        <v/>
      </c>
      <c r="AF115" s="11" t="str">
        <f t="shared" si="47"/>
        <v/>
      </c>
      <c r="AG115" s="11" t="str">
        <f t="shared" si="48"/>
        <v/>
      </c>
      <c r="AH115" s="11"/>
      <c r="AI115" s="11"/>
    </row>
    <row r="116" spans="1:35" x14ac:dyDescent="0.25">
      <c r="A116" s="24">
        <v>3</v>
      </c>
      <c r="B116" s="11"/>
      <c r="C116" s="11"/>
      <c r="D116" s="11"/>
      <c r="E116" s="11"/>
      <c r="F116" s="11"/>
      <c r="G116" s="11"/>
      <c r="H116" s="11"/>
      <c r="I116" s="11"/>
      <c r="J116" s="11"/>
      <c r="K116" s="11"/>
      <c r="M116" s="24">
        <v>3</v>
      </c>
      <c r="N116" s="11"/>
      <c r="O116" s="11"/>
      <c r="P116" s="11"/>
      <c r="Q116" s="11"/>
      <c r="R116" s="11"/>
      <c r="S116" s="11"/>
      <c r="T116" s="11"/>
      <c r="U116" s="11"/>
      <c r="V116" s="11"/>
      <c r="W116" s="11"/>
      <c r="Y116" s="24">
        <v>3</v>
      </c>
      <c r="Z116" s="11" t="str">
        <f t="shared" si="49"/>
        <v/>
      </c>
      <c r="AA116" s="11" t="str">
        <f t="shared" si="42"/>
        <v/>
      </c>
      <c r="AB116" s="11" t="str">
        <f t="shared" si="43"/>
        <v/>
      </c>
      <c r="AC116" s="11" t="str">
        <f t="shared" si="44"/>
        <v/>
      </c>
      <c r="AD116" s="11" t="str">
        <f t="shared" si="45"/>
        <v/>
      </c>
      <c r="AE116" s="11" t="str">
        <f t="shared" si="46"/>
        <v/>
      </c>
      <c r="AF116" s="11" t="str">
        <f t="shared" si="47"/>
        <v/>
      </c>
      <c r="AG116" s="11" t="str">
        <f t="shared" si="48"/>
        <v/>
      </c>
      <c r="AH116" s="11"/>
      <c r="AI116" s="11"/>
    </row>
    <row r="117" spans="1:35" x14ac:dyDescent="0.25">
      <c r="A117" s="24">
        <v>4</v>
      </c>
      <c r="B117" s="11"/>
      <c r="C117" s="11"/>
      <c r="D117" s="11"/>
      <c r="E117" s="11"/>
      <c r="F117" s="11"/>
      <c r="G117" s="11"/>
      <c r="H117" s="11"/>
      <c r="I117" s="11"/>
      <c r="J117" s="11"/>
      <c r="K117" s="11"/>
      <c r="M117" s="24">
        <v>4</v>
      </c>
      <c r="N117" s="11"/>
      <c r="O117" s="11"/>
      <c r="P117" s="11"/>
      <c r="Q117" s="11"/>
      <c r="R117" s="11"/>
      <c r="S117" s="11"/>
      <c r="T117" s="11"/>
      <c r="U117" s="11"/>
      <c r="V117" s="11"/>
      <c r="W117" s="11"/>
      <c r="Y117" s="24">
        <v>4</v>
      </c>
      <c r="Z117" s="11" t="str">
        <f t="shared" si="49"/>
        <v/>
      </c>
      <c r="AA117" s="11" t="str">
        <f t="shared" si="42"/>
        <v/>
      </c>
      <c r="AB117" s="11" t="str">
        <f t="shared" si="43"/>
        <v/>
      </c>
      <c r="AC117" s="11" t="str">
        <f t="shared" si="44"/>
        <v/>
      </c>
      <c r="AD117" s="11" t="str">
        <f t="shared" si="45"/>
        <v/>
      </c>
      <c r="AE117" s="11" t="str">
        <f t="shared" si="46"/>
        <v/>
      </c>
      <c r="AF117" s="11" t="str">
        <f t="shared" si="47"/>
        <v/>
      </c>
      <c r="AG117" s="11" t="str">
        <f t="shared" si="48"/>
        <v/>
      </c>
      <c r="AH117" s="11"/>
      <c r="AI117" s="11"/>
    </row>
    <row r="118" spans="1:35" x14ac:dyDescent="0.25">
      <c r="A118" s="24">
        <v>5</v>
      </c>
      <c r="B118" s="11"/>
      <c r="C118" s="11"/>
      <c r="D118" s="11"/>
      <c r="E118" s="11"/>
      <c r="F118" s="11"/>
      <c r="G118" s="11"/>
      <c r="H118" s="11"/>
      <c r="I118" s="11"/>
      <c r="J118" s="11"/>
      <c r="K118" s="11"/>
      <c r="M118" s="24">
        <v>5</v>
      </c>
      <c r="N118" s="11"/>
      <c r="O118" s="11"/>
      <c r="P118" s="11"/>
      <c r="Q118" s="11"/>
      <c r="R118" s="11"/>
      <c r="S118" s="11"/>
      <c r="T118" s="11"/>
      <c r="U118" s="11"/>
      <c r="V118" s="11"/>
      <c r="W118" s="11"/>
      <c r="Y118" s="24">
        <v>5</v>
      </c>
      <c r="Z118" s="11" t="str">
        <f t="shared" si="49"/>
        <v/>
      </c>
      <c r="AA118" s="11" t="str">
        <f t="shared" si="42"/>
        <v/>
      </c>
      <c r="AB118" s="11" t="str">
        <f t="shared" si="43"/>
        <v/>
      </c>
      <c r="AC118" s="11" t="str">
        <f t="shared" si="44"/>
        <v/>
      </c>
      <c r="AD118" s="11" t="str">
        <f t="shared" si="45"/>
        <v/>
      </c>
      <c r="AE118" s="11" t="str">
        <f t="shared" si="46"/>
        <v/>
      </c>
      <c r="AF118" s="11" t="str">
        <f t="shared" si="47"/>
        <v/>
      </c>
      <c r="AG118" s="11" t="str">
        <f t="shared" si="48"/>
        <v/>
      </c>
      <c r="AH118" s="11"/>
      <c r="AI118" s="11"/>
    </row>
    <row r="119" spans="1:35" x14ac:dyDescent="0.25">
      <c r="A119" s="24">
        <v>6</v>
      </c>
      <c r="B119" s="11"/>
      <c r="C119" s="11"/>
      <c r="D119" s="11"/>
      <c r="E119" s="11"/>
      <c r="F119" s="11"/>
      <c r="G119" s="11"/>
      <c r="H119" s="11"/>
      <c r="I119" s="11"/>
      <c r="J119" s="11"/>
      <c r="K119" s="11"/>
      <c r="M119" s="24">
        <v>6</v>
      </c>
      <c r="N119" s="11"/>
      <c r="O119" s="11"/>
      <c r="P119" s="11"/>
      <c r="Q119" s="11"/>
      <c r="R119" s="11"/>
      <c r="S119" s="11"/>
      <c r="T119" s="11"/>
      <c r="U119" s="11"/>
      <c r="V119" s="11"/>
      <c r="W119" s="11"/>
      <c r="Y119" s="24">
        <v>6</v>
      </c>
      <c r="Z119" s="11" t="str">
        <f t="shared" si="49"/>
        <v/>
      </c>
      <c r="AA119" s="11" t="str">
        <f t="shared" si="42"/>
        <v/>
      </c>
      <c r="AB119" s="11" t="str">
        <f t="shared" si="43"/>
        <v/>
      </c>
      <c r="AC119" s="11" t="str">
        <f t="shared" si="44"/>
        <v/>
      </c>
      <c r="AD119" s="11" t="str">
        <f t="shared" si="45"/>
        <v/>
      </c>
      <c r="AE119" s="11" t="str">
        <f t="shared" si="46"/>
        <v/>
      </c>
      <c r="AF119" s="11" t="str">
        <f t="shared" si="47"/>
        <v/>
      </c>
      <c r="AG119" s="11" t="str">
        <f t="shared" si="48"/>
        <v/>
      </c>
      <c r="AH119" s="11"/>
      <c r="AI119" s="11"/>
    </row>
    <row r="120" spans="1:35" x14ac:dyDescent="0.25">
      <c r="A120" s="24">
        <v>7</v>
      </c>
      <c r="B120" s="11"/>
      <c r="C120" s="11"/>
      <c r="D120" s="11"/>
      <c r="E120" s="11"/>
      <c r="F120" s="11"/>
      <c r="G120" s="11"/>
      <c r="H120" s="11"/>
      <c r="I120" s="11"/>
      <c r="J120" s="11"/>
      <c r="K120" s="11"/>
      <c r="M120" s="24">
        <v>7</v>
      </c>
      <c r="N120" s="11"/>
      <c r="O120" s="11"/>
      <c r="P120" s="11"/>
      <c r="Q120" s="11"/>
      <c r="R120" s="11"/>
      <c r="S120" s="11"/>
      <c r="T120" s="11"/>
      <c r="U120" s="11"/>
      <c r="V120" s="11"/>
      <c r="W120" s="11"/>
      <c r="Y120" s="24">
        <v>7</v>
      </c>
      <c r="Z120" s="11" t="str">
        <f t="shared" si="49"/>
        <v/>
      </c>
      <c r="AA120" s="11" t="str">
        <f t="shared" si="42"/>
        <v/>
      </c>
      <c r="AB120" s="11" t="str">
        <f t="shared" si="43"/>
        <v/>
      </c>
      <c r="AC120" s="11" t="str">
        <f t="shared" si="44"/>
        <v/>
      </c>
      <c r="AD120" s="11" t="str">
        <f t="shared" si="45"/>
        <v/>
      </c>
      <c r="AE120" s="11" t="str">
        <f t="shared" si="46"/>
        <v/>
      </c>
      <c r="AF120" s="11" t="str">
        <f t="shared" si="47"/>
        <v/>
      </c>
      <c r="AG120" s="11" t="str">
        <f t="shared" si="48"/>
        <v/>
      </c>
      <c r="AH120" s="11"/>
      <c r="AI120" s="11"/>
    </row>
    <row r="121" spans="1:35" x14ac:dyDescent="0.25">
      <c r="A121" s="24">
        <v>8</v>
      </c>
      <c r="B121" s="11"/>
      <c r="C121" s="11"/>
      <c r="D121" s="11"/>
      <c r="E121" s="11"/>
      <c r="F121" s="11"/>
      <c r="G121" s="11"/>
      <c r="H121" s="11"/>
      <c r="I121" s="11"/>
      <c r="J121" s="11"/>
      <c r="K121" s="11"/>
      <c r="M121" s="24">
        <v>8</v>
      </c>
      <c r="N121" s="11"/>
      <c r="O121" s="11"/>
      <c r="P121" s="11"/>
      <c r="Q121" s="11"/>
      <c r="R121" s="11"/>
      <c r="S121" s="11"/>
      <c r="T121" s="11"/>
      <c r="U121" s="11"/>
      <c r="V121" s="11"/>
      <c r="W121" s="11"/>
      <c r="Y121" s="24">
        <v>8</v>
      </c>
      <c r="Z121" s="11" t="str">
        <f t="shared" si="49"/>
        <v/>
      </c>
      <c r="AA121" s="11" t="str">
        <f t="shared" si="42"/>
        <v/>
      </c>
      <c r="AB121" s="11" t="str">
        <f t="shared" si="43"/>
        <v/>
      </c>
      <c r="AC121" s="11" t="str">
        <f t="shared" si="44"/>
        <v/>
      </c>
      <c r="AD121" s="11" t="str">
        <f t="shared" si="45"/>
        <v/>
      </c>
      <c r="AE121" s="11" t="str">
        <f t="shared" si="46"/>
        <v/>
      </c>
      <c r="AF121" s="11" t="str">
        <f t="shared" si="47"/>
        <v/>
      </c>
      <c r="AG121" s="11" t="str">
        <f t="shared" si="48"/>
        <v/>
      </c>
      <c r="AH121" s="11"/>
      <c r="AI121" s="11"/>
    </row>
    <row r="122" spans="1:35" x14ac:dyDescent="0.25">
      <c r="A122" s="24">
        <v>9</v>
      </c>
      <c r="B122" s="11"/>
      <c r="C122" s="11"/>
      <c r="D122" s="11"/>
      <c r="E122" s="11"/>
      <c r="F122" s="11"/>
      <c r="G122" s="11"/>
      <c r="H122" s="11"/>
      <c r="I122" s="11"/>
      <c r="J122" s="11"/>
      <c r="K122" s="11"/>
      <c r="M122" s="24">
        <v>9</v>
      </c>
      <c r="N122" s="11"/>
      <c r="O122" s="11"/>
      <c r="P122" s="11"/>
      <c r="Q122" s="11"/>
      <c r="R122" s="11"/>
      <c r="S122" s="11"/>
      <c r="T122" s="11"/>
      <c r="U122" s="11"/>
      <c r="V122" s="11"/>
      <c r="W122" s="11"/>
      <c r="Y122" s="24">
        <v>9</v>
      </c>
      <c r="Z122" s="11" t="str">
        <f t="shared" si="49"/>
        <v/>
      </c>
      <c r="AA122" s="11" t="str">
        <f t="shared" si="42"/>
        <v/>
      </c>
      <c r="AB122" s="11" t="str">
        <f t="shared" si="43"/>
        <v/>
      </c>
      <c r="AC122" s="11" t="str">
        <f t="shared" si="44"/>
        <v/>
      </c>
      <c r="AD122" s="11" t="str">
        <f t="shared" si="45"/>
        <v/>
      </c>
      <c r="AE122" s="11" t="str">
        <f t="shared" si="46"/>
        <v/>
      </c>
      <c r="AF122" s="11" t="str">
        <f t="shared" si="47"/>
        <v/>
      </c>
      <c r="AG122" s="11" t="str">
        <f t="shared" si="48"/>
        <v/>
      </c>
      <c r="AH122" s="11"/>
      <c r="AI122" s="11"/>
    </row>
    <row r="123" spans="1:35" x14ac:dyDescent="0.25">
      <c r="A123" s="24">
        <v>10</v>
      </c>
      <c r="B123" s="11"/>
      <c r="C123" s="11"/>
      <c r="D123" s="11"/>
      <c r="E123" s="11"/>
      <c r="F123" s="11"/>
      <c r="G123" s="11"/>
      <c r="H123" s="11"/>
      <c r="I123" s="11"/>
      <c r="J123" s="11"/>
      <c r="K123" s="11"/>
      <c r="M123" s="24">
        <v>10</v>
      </c>
      <c r="N123" s="11"/>
      <c r="O123" s="11"/>
      <c r="P123" s="11"/>
      <c r="Q123" s="11"/>
      <c r="R123" s="11"/>
      <c r="S123" s="11"/>
      <c r="T123" s="11"/>
      <c r="U123" s="11"/>
      <c r="V123" s="11"/>
      <c r="W123" s="11"/>
      <c r="Y123" s="24">
        <v>10</v>
      </c>
      <c r="Z123" s="11" t="str">
        <f t="shared" si="49"/>
        <v/>
      </c>
      <c r="AA123" s="11" t="str">
        <f t="shared" si="42"/>
        <v/>
      </c>
      <c r="AB123" s="11" t="str">
        <f t="shared" si="43"/>
        <v/>
      </c>
      <c r="AC123" s="11" t="str">
        <f t="shared" si="44"/>
        <v/>
      </c>
      <c r="AD123" s="11" t="str">
        <f t="shared" si="45"/>
        <v/>
      </c>
      <c r="AE123" s="11" t="str">
        <f t="shared" si="46"/>
        <v/>
      </c>
      <c r="AF123" s="11" t="str">
        <f t="shared" si="47"/>
        <v/>
      </c>
      <c r="AG123" s="11" t="str">
        <f t="shared" si="48"/>
        <v/>
      </c>
      <c r="AH123" s="11"/>
      <c r="AI123" s="11"/>
    </row>
    <row r="124" spans="1:35" x14ac:dyDescent="0.25">
      <c r="A124" s="24">
        <v>11</v>
      </c>
      <c r="B124" s="11"/>
      <c r="C124" s="11"/>
      <c r="D124" s="11"/>
      <c r="E124" s="11"/>
      <c r="F124" s="11"/>
      <c r="G124" s="11"/>
      <c r="H124" s="11"/>
      <c r="I124" s="11"/>
      <c r="J124" s="11"/>
      <c r="K124" s="11"/>
      <c r="M124" s="24">
        <v>11</v>
      </c>
      <c r="N124" s="11"/>
      <c r="O124" s="11"/>
      <c r="P124" s="11"/>
      <c r="Q124" s="11"/>
      <c r="R124" s="11"/>
      <c r="S124" s="11"/>
      <c r="T124" s="11"/>
      <c r="U124" s="11"/>
      <c r="V124" s="11"/>
      <c r="W124" s="11"/>
      <c r="Y124" s="24">
        <v>11</v>
      </c>
      <c r="Z124" s="11" t="str">
        <f t="shared" si="49"/>
        <v/>
      </c>
      <c r="AA124" s="11" t="str">
        <f t="shared" si="42"/>
        <v/>
      </c>
      <c r="AB124" s="11" t="str">
        <f t="shared" si="43"/>
        <v/>
      </c>
      <c r="AC124" s="11" t="str">
        <f t="shared" si="44"/>
        <v/>
      </c>
      <c r="AD124" s="11" t="str">
        <f t="shared" si="45"/>
        <v/>
      </c>
      <c r="AE124" s="11" t="str">
        <f t="shared" si="46"/>
        <v/>
      </c>
      <c r="AF124" s="11" t="str">
        <f t="shared" si="47"/>
        <v/>
      </c>
      <c r="AG124" s="11" t="str">
        <f t="shared" si="48"/>
        <v/>
      </c>
      <c r="AH124" s="11"/>
      <c r="AI124" s="11"/>
    </row>
    <row r="125" spans="1:35" x14ac:dyDescent="0.25">
      <c r="A125" s="24">
        <v>12</v>
      </c>
      <c r="B125" s="11"/>
      <c r="C125" s="11"/>
      <c r="D125" s="11"/>
      <c r="E125" s="11"/>
      <c r="F125" s="11"/>
      <c r="G125" s="11"/>
      <c r="H125" s="11"/>
      <c r="I125" s="11"/>
      <c r="J125" s="11"/>
      <c r="K125" s="11"/>
      <c r="M125" s="24">
        <v>12</v>
      </c>
      <c r="N125" s="11"/>
      <c r="O125" s="11"/>
      <c r="P125" s="11"/>
      <c r="Q125" s="11"/>
      <c r="R125" s="11"/>
      <c r="S125" s="11"/>
      <c r="T125" s="11"/>
      <c r="U125" s="11"/>
      <c r="V125" s="11"/>
      <c r="W125" s="11"/>
      <c r="Y125" s="24">
        <v>12</v>
      </c>
      <c r="Z125" s="11" t="str">
        <f t="shared" si="49"/>
        <v/>
      </c>
      <c r="AA125" s="11" t="str">
        <f t="shared" si="42"/>
        <v/>
      </c>
      <c r="AB125" s="11" t="str">
        <f t="shared" si="43"/>
        <v/>
      </c>
      <c r="AC125" s="11" t="str">
        <f t="shared" si="44"/>
        <v/>
      </c>
      <c r="AD125" s="11" t="str">
        <f t="shared" si="45"/>
        <v/>
      </c>
      <c r="AE125" s="11" t="str">
        <f t="shared" si="46"/>
        <v/>
      </c>
      <c r="AF125" s="11" t="str">
        <f t="shared" si="47"/>
        <v/>
      </c>
      <c r="AG125" s="11" t="str">
        <f t="shared" si="48"/>
        <v/>
      </c>
      <c r="AH125" s="11"/>
      <c r="AI125" s="11"/>
    </row>
    <row r="126" spans="1:35" x14ac:dyDescent="0.25">
      <c r="A126" s="24">
        <v>13</v>
      </c>
      <c r="B126" s="11"/>
      <c r="C126" s="11"/>
      <c r="D126" s="11"/>
      <c r="E126" s="11"/>
      <c r="F126" s="11"/>
      <c r="G126" s="11"/>
      <c r="H126" s="11"/>
      <c r="I126" s="11"/>
      <c r="J126" s="11"/>
      <c r="K126" s="11"/>
      <c r="M126" s="24">
        <v>13</v>
      </c>
      <c r="N126" s="11"/>
      <c r="O126" s="11"/>
      <c r="P126" s="11"/>
      <c r="Q126" s="11"/>
      <c r="R126" s="11"/>
      <c r="S126" s="11"/>
      <c r="T126" s="11"/>
      <c r="U126" s="11"/>
      <c r="V126" s="11"/>
      <c r="W126" s="11"/>
      <c r="Y126" s="24">
        <v>13</v>
      </c>
      <c r="Z126" s="11" t="str">
        <f t="shared" si="49"/>
        <v/>
      </c>
      <c r="AA126" s="11" t="str">
        <f t="shared" si="42"/>
        <v/>
      </c>
      <c r="AB126" s="11" t="str">
        <f t="shared" si="43"/>
        <v/>
      </c>
      <c r="AC126" s="11" t="str">
        <f t="shared" si="44"/>
        <v/>
      </c>
      <c r="AD126" s="11" t="str">
        <f t="shared" si="45"/>
        <v/>
      </c>
      <c r="AE126" s="11" t="str">
        <f t="shared" si="46"/>
        <v/>
      </c>
      <c r="AF126" s="11" t="str">
        <f t="shared" si="47"/>
        <v/>
      </c>
      <c r="AG126" s="11" t="str">
        <f t="shared" si="48"/>
        <v/>
      </c>
      <c r="AH126" s="11"/>
      <c r="AI126" s="11"/>
    </row>
    <row r="127" spans="1:35" x14ac:dyDescent="0.25">
      <c r="A127" s="24">
        <v>14</v>
      </c>
      <c r="B127" s="11"/>
      <c r="C127" s="11"/>
      <c r="D127" s="11"/>
      <c r="E127" s="11"/>
      <c r="F127" s="11"/>
      <c r="G127" s="11"/>
      <c r="H127" s="11"/>
      <c r="I127" s="11"/>
      <c r="J127" s="11"/>
      <c r="K127" s="11"/>
      <c r="M127" s="24">
        <v>14</v>
      </c>
      <c r="N127" s="11"/>
      <c r="O127" s="11"/>
      <c r="P127" s="11"/>
      <c r="Q127" s="11"/>
      <c r="R127" s="11"/>
      <c r="S127" s="11"/>
      <c r="T127" s="11"/>
      <c r="U127" s="11"/>
      <c r="V127" s="11"/>
      <c r="W127" s="11"/>
      <c r="Y127" s="24">
        <v>14</v>
      </c>
      <c r="Z127" s="11" t="str">
        <f t="shared" si="49"/>
        <v/>
      </c>
      <c r="AA127" s="11" t="str">
        <f t="shared" si="42"/>
        <v/>
      </c>
      <c r="AB127" s="11" t="str">
        <f t="shared" si="43"/>
        <v/>
      </c>
      <c r="AC127" s="11" t="str">
        <f t="shared" si="44"/>
        <v/>
      </c>
      <c r="AD127" s="11" t="str">
        <f t="shared" si="45"/>
        <v/>
      </c>
      <c r="AE127" s="11" t="str">
        <f t="shared" si="46"/>
        <v/>
      </c>
      <c r="AF127" s="11" t="str">
        <f t="shared" si="47"/>
        <v/>
      </c>
      <c r="AG127" s="11" t="str">
        <f t="shared" si="48"/>
        <v/>
      </c>
      <c r="AH127" s="11"/>
      <c r="AI127" s="11"/>
    </row>
    <row r="128" spans="1:35" x14ac:dyDescent="0.25">
      <c r="A128" s="24">
        <v>15</v>
      </c>
      <c r="B128" s="11"/>
      <c r="C128" s="11"/>
      <c r="D128" s="11"/>
      <c r="E128" s="11"/>
      <c r="F128" s="11"/>
      <c r="G128" s="11"/>
      <c r="H128" s="11"/>
      <c r="I128" s="11"/>
      <c r="J128" s="11"/>
      <c r="K128" s="11"/>
      <c r="M128" s="24">
        <v>15</v>
      </c>
      <c r="N128" s="11"/>
      <c r="O128" s="11"/>
      <c r="P128" s="11"/>
      <c r="Q128" s="11"/>
      <c r="R128" s="11"/>
      <c r="S128" s="11"/>
      <c r="T128" s="11"/>
      <c r="U128" s="11"/>
      <c r="V128" s="11"/>
      <c r="W128" s="11"/>
      <c r="Y128" s="24">
        <v>15</v>
      </c>
      <c r="Z128" s="11" t="str">
        <f t="shared" si="49"/>
        <v/>
      </c>
      <c r="AA128" s="11" t="str">
        <f t="shared" si="42"/>
        <v/>
      </c>
      <c r="AB128" s="11" t="str">
        <f t="shared" si="43"/>
        <v/>
      </c>
      <c r="AC128" s="11" t="str">
        <f t="shared" si="44"/>
        <v/>
      </c>
      <c r="AD128" s="11" t="str">
        <f t="shared" si="45"/>
        <v/>
      </c>
      <c r="AE128" s="11" t="str">
        <f t="shared" si="46"/>
        <v/>
      </c>
      <c r="AF128" s="11" t="str">
        <f t="shared" si="47"/>
        <v/>
      </c>
      <c r="AG128" s="11" t="str">
        <f t="shared" si="48"/>
        <v/>
      </c>
      <c r="AH128" s="11"/>
      <c r="AI128" s="11"/>
    </row>
    <row r="129" spans="1:35" x14ac:dyDescent="0.25">
      <c r="A129" s="24">
        <v>16</v>
      </c>
      <c r="B129" s="11"/>
      <c r="C129" s="11"/>
      <c r="D129" s="11"/>
      <c r="E129" s="11"/>
      <c r="F129" s="11"/>
      <c r="G129" s="11"/>
      <c r="H129" s="11"/>
      <c r="I129" s="11"/>
      <c r="J129" s="11"/>
      <c r="K129" s="11"/>
      <c r="M129" s="24">
        <v>16</v>
      </c>
      <c r="N129" s="11"/>
      <c r="O129" s="11"/>
      <c r="P129" s="11"/>
      <c r="Q129" s="11"/>
      <c r="R129" s="11"/>
      <c r="S129" s="11"/>
      <c r="T129" s="11"/>
      <c r="U129" s="11"/>
      <c r="V129" s="11"/>
      <c r="W129" s="11"/>
      <c r="Y129" s="24">
        <v>16</v>
      </c>
      <c r="Z129" s="11" t="str">
        <f t="shared" si="49"/>
        <v/>
      </c>
      <c r="AA129" s="11" t="str">
        <f t="shared" si="42"/>
        <v/>
      </c>
      <c r="AB129" s="11" t="str">
        <f t="shared" si="43"/>
        <v/>
      </c>
      <c r="AC129" s="11" t="str">
        <f t="shared" si="44"/>
        <v/>
      </c>
      <c r="AD129" s="11" t="str">
        <f t="shared" si="45"/>
        <v/>
      </c>
      <c r="AE129" s="11" t="str">
        <f t="shared" si="46"/>
        <v/>
      </c>
      <c r="AF129" s="11" t="str">
        <f t="shared" si="47"/>
        <v/>
      </c>
      <c r="AG129" s="11" t="str">
        <f t="shared" si="48"/>
        <v/>
      </c>
      <c r="AH129" s="11"/>
      <c r="AI129" s="11"/>
    </row>
    <row r="130" spans="1:35" x14ac:dyDescent="0.25">
      <c r="A130" s="24">
        <v>17</v>
      </c>
      <c r="B130" s="11"/>
      <c r="C130" s="11"/>
      <c r="D130" s="11"/>
      <c r="E130" s="11"/>
      <c r="F130" s="11"/>
      <c r="G130" s="11"/>
      <c r="H130" s="11"/>
      <c r="I130" s="11"/>
      <c r="J130" s="11"/>
      <c r="K130" s="11"/>
      <c r="M130" s="24">
        <v>17</v>
      </c>
      <c r="N130" s="11"/>
      <c r="O130" s="11"/>
      <c r="P130" s="11"/>
      <c r="Q130" s="11"/>
      <c r="R130" s="11"/>
      <c r="S130" s="11"/>
      <c r="T130" s="11"/>
      <c r="U130" s="11"/>
      <c r="V130" s="11"/>
      <c r="W130" s="11"/>
      <c r="Y130" s="24">
        <v>17</v>
      </c>
      <c r="Z130" s="11" t="str">
        <f t="shared" si="49"/>
        <v/>
      </c>
      <c r="AA130" s="11" t="str">
        <f t="shared" si="42"/>
        <v/>
      </c>
      <c r="AB130" s="11" t="str">
        <f t="shared" si="43"/>
        <v/>
      </c>
      <c r="AC130" s="11" t="str">
        <f t="shared" si="44"/>
        <v/>
      </c>
      <c r="AD130" s="11" t="str">
        <f t="shared" si="45"/>
        <v/>
      </c>
      <c r="AE130" s="11" t="str">
        <f t="shared" si="46"/>
        <v/>
      </c>
      <c r="AF130" s="11" t="str">
        <f t="shared" si="47"/>
        <v/>
      </c>
      <c r="AG130" s="11" t="str">
        <f t="shared" si="48"/>
        <v/>
      </c>
      <c r="AH130" s="11"/>
      <c r="AI130" s="11"/>
    </row>
    <row r="131" spans="1:35" x14ac:dyDescent="0.25">
      <c r="A131" s="24">
        <v>18</v>
      </c>
      <c r="B131" s="11"/>
      <c r="C131" s="11"/>
      <c r="D131" s="11"/>
      <c r="E131" s="11"/>
      <c r="F131" s="11"/>
      <c r="G131" s="11"/>
      <c r="H131" s="11"/>
      <c r="I131" s="11"/>
      <c r="J131" s="11"/>
      <c r="K131" s="11"/>
      <c r="M131" s="24">
        <v>18</v>
      </c>
      <c r="N131" s="11"/>
      <c r="O131" s="11"/>
      <c r="P131" s="11"/>
      <c r="Q131" s="11"/>
      <c r="R131" s="11"/>
      <c r="S131" s="11"/>
      <c r="T131" s="11"/>
      <c r="U131" s="11"/>
      <c r="V131" s="11"/>
      <c r="W131" s="11"/>
      <c r="Y131" s="24">
        <v>18</v>
      </c>
      <c r="Z131" s="11" t="str">
        <f t="shared" si="49"/>
        <v/>
      </c>
      <c r="AA131" s="11" t="str">
        <f t="shared" si="42"/>
        <v/>
      </c>
      <c r="AB131" s="11" t="str">
        <f t="shared" si="43"/>
        <v/>
      </c>
      <c r="AC131" s="11" t="str">
        <f t="shared" si="44"/>
        <v/>
      </c>
      <c r="AD131" s="11" t="str">
        <f t="shared" si="45"/>
        <v/>
      </c>
      <c r="AE131" s="11" t="str">
        <f t="shared" si="46"/>
        <v/>
      </c>
      <c r="AF131" s="11" t="str">
        <f t="shared" si="47"/>
        <v/>
      </c>
      <c r="AG131" s="11" t="str">
        <f t="shared" si="48"/>
        <v/>
      </c>
      <c r="AH131" s="11"/>
      <c r="AI131" s="11"/>
    </row>
    <row r="134" spans="1:35" ht="57" x14ac:dyDescent="0.45">
      <c r="A134" s="104" t="s">
        <v>286</v>
      </c>
      <c r="B134" s="22" t="s">
        <v>1</v>
      </c>
      <c r="C134" s="22"/>
      <c r="D134" s="22"/>
      <c r="E134" s="22"/>
      <c r="F134" s="22"/>
      <c r="G134" s="22"/>
      <c r="H134" s="22"/>
      <c r="I134" s="22"/>
      <c r="J134" s="22"/>
      <c r="K134" s="22"/>
      <c r="M134" s="103" t="s">
        <v>287</v>
      </c>
      <c r="N134" s="22" t="s">
        <v>1</v>
      </c>
      <c r="O134" s="22"/>
      <c r="P134" s="22"/>
      <c r="Q134" s="22"/>
      <c r="R134" s="22"/>
      <c r="S134" s="22"/>
      <c r="T134" s="22"/>
      <c r="U134" s="22"/>
      <c r="V134" s="22"/>
      <c r="W134" s="22"/>
      <c r="Y134" s="103" t="s">
        <v>15</v>
      </c>
      <c r="Z134" s="22" t="s">
        <v>1</v>
      </c>
      <c r="AA134" s="22"/>
      <c r="AB134" s="22"/>
      <c r="AC134" s="22"/>
      <c r="AD134" s="22"/>
      <c r="AE134" s="22"/>
      <c r="AF134" s="22"/>
      <c r="AG134" s="22"/>
      <c r="AH134" s="22"/>
      <c r="AI134" s="22"/>
    </row>
    <row r="135" spans="1:35" ht="30" x14ac:dyDescent="0.25">
      <c r="A135" s="22" t="s">
        <v>2</v>
      </c>
      <c r="B135" s="26">
        <v>1</v>
      </c>
      <c r="C135" s="26">
        <v>2</v>
      </c>
      <c r="D135" s="26">
        <v>3</v>
      </c>
      <c r="E135" s="26">
        <v>4</v>
      </c>
      <c r="F135" s="26">
        <v>5</v>
      </c>
      <c r="G135" s="26">
        <v>6</v>
      </c>
      <c r="H135" s="26">
        <v>7</v>
      </c>
      <c r="I135" s="26">
        <v>8</v>
      </c>
      <c r="J135" s="26">
        <v>9</v>
      </c>
      <c r="K135" s="26">
        <v>10</v>
      </c>
      <c r="M135" s="22" t="s">
        <v>2</v>
      </c>
      <c r="N135" s="26">
        <v>1</v>
      </c>
      <c r="O135" s="26">
        <v>2</v>
      </c>
      <c r="P135" s="26">
        <v>3</v>
      </c>
      <c r="Q135" s="26">
        <v>4</v>
      </c>
      <c r="R135" s="26">
        <v>5</v>
      </c>
      <c r="S135" s="26">
        <v>6</v>
      </c>
      <c r="T135" s="26">
        <v>7</v>
      </c>
      <c r="U135" s="26">
        <v>8</v>
      </c>
      <c r="V135" s="26">
        <v>9</v>
      </c>
      <c r="W135" s="26">
        <v>10</v>
      </c>
      <c r="Y135" s="22" t="s">
        <v>2</v>
      </c>
      <c r="Z135" s="26">
        <v>1</v>
      </c>
      <c r="AA135" s="26">
        <v>2</v>
      </c>
      <c r="AB135" s="26">
        <v>3</v>
      </c>
      <c r="AC135" s="26">
        <v>4</v>
      </c>
      <c r="AD135" s="26">
        <v>5</v>
      </c>
      <c r="AE135" s="26">
        <v>6</v>
      </c>
      <c r="AF135" s="26">
        <v>7</v>
      </c>
      <c r="AG135" s="26">
        <v>8</v>
      </c>
      <c r="AH135" s="26">
        <v>9</v>
      </c>
      <c r="AI135" s="26">
        <v>10</v>
      </c>
    </row>
    <row r="136" spans="1:35" x14ac:dyDescent="0.25">
      <c r="A136" s="24">
        <v>1</v>
      </c>
      <c r="B136" s="11"/>
      <c r="C136" s="11"/>
      <c r="D136" s="11"/>
      <c r="E136" s="11"/>
      <c r="F136" s="11"/>
      <c r="G136" s="11"/>
      <c r="H136" s="11"/>
      <c r="I136" s="11"/>
      <c r="J136" s="11"/>
      <c r="K136" s="11"/>
      <c r="M136" s="24">
        <v>1</v>
      </c>
      <c r="N136" s="11"/>
      <c r="O136" s="11"/>
      <c r="P136" s="11"/>
      <c r="Q136" s="11"/>
      <c r="R136" s="11"/>
      <c r="S136" s="11"/>
      <c r="T136" s="11"/>
      <c r="U136" s="11"/>
      <c r="V136" s="11"/>
      <c r="W136" s="11"/>
      <c r="Y136" s="24">
        <v>1</v>
      </c>
      <c r="Z136" s="11" t="str">
        <f>CONCATENATE(B136,$L$4,N136)</f>
        <v/>
      </c>
      <c r="AA136" s="11" t="str">
        <f t="shared" ref="AA136:AA153" si="50">CONCATENATE(C136,$L$4,O136)</f>
        <v/>
      </c>
      <c r="AB136" s="11" t="str">
        <f t="shared" ref="AB136:AB153" si="51">CONCATENATE(D136,$L$4,P136)</f>
        <v/>
      </c>
      <c r="AC136" s="11" t="str">
        <f t="shared" ref="AC136:AC153" si="52">CONCATENATE(E136,$L$4,Q136)</f>
        <v/>
      </c>
      <c r="AD136" s="11" t="str">
        <f t="shared" ref="AD136:AD153" si="53">CONCATENATE(F136,$L$4,R136)</f>
        <v/>
      </c>
      <c r="AE136" s="11" t="str">
        <f t="shared" ref="AE136:AE153" si="54">CONCATENATE(G136,$L$4,S136)</f>
        <v/>
      </c>
      <c r="AF136" s="11" t="str">
        <f t="shared" ref="AF136:AF153" si="55">CONCATENATE(H136,$L$4,T136)</f>
        <v/>
      </c>
      <c r="AG136" s="11" t="str">
        <f t="shared" ref="AG136:AG153" si="56">CONCATENATE(I136,$L$4,U136)</f>
        <v/>
      </c>
      <c r="AH136" s="11"/>
      <c r="AI136" s="11"/>
    </row>
    <row r="137" spans="1:35" x14ac:dyDescent="0.25">
      <c r="A137" s="24">
        <v>2</v>
      </c>
      <c r="B137" s="11"/>
      <c r="C137" s="11"/>
      <c r="D137" s="11"/>
      <c r="E137" s="11"/>
      <c r="F137" s="11"/>
      <c r="G137" s="11"/>
      <c r="H137" s="11"/>
      <c r="I137" s="11"/>
      <c r="J137" s="11"/>
      <c r="K137" s="11"/>
      <c r="M137" s="24">
        <v>2</v>
      </c>
      <c r="N137" s="11"/>
      <c r="O137" s="11"/>
      <c r="P137" s="11"/>
      <c r="Q137" s="11"/>
      <c r="R137" s="11"/>
      <c r="S137" s="11"/>
      <c r="T137" s="11"/>
      <c r="U137" s="11"/>
      <c r="V137" s="11"/>
      <c r="W137" s="11"/>
      <c r="Y137" s="24">
        <v>2</v>
      </c>
      <c r="Z137" s="11" t="str">
        <f t="shared" ref="Z137:Z153" si="57">CONCATENATE(B137,$L$4,N137)</f>
        <v/>
      </c>
      <c r="AA137" s="11" t="str">
        <f t="shared" si="50"/>
        <v/>
      </c>
      <c r="AB137" s="11" t="str">
        <f t="shared" si="51"/>
        <v/>
      </c>
      <c r="AC137" s="11" t="str">
        <f t="shared" si="52"/>
        <v/>
      </c>
      <c r="AD137" s="11" t="str">
        <f t="shared" si="53"/>
        <v/>
      </c>
      <c r="AE137" s="11" t="str">
        <f t="shared" si="54"/>
        <v/>
      </c>
      <c r="AF137" s="11" t="str">
        <f t="shared" si="55"/>
        <v/>
      </c>
      <c r="AG137" s="11" t="str">
        <f t="shared" si="56"/>
        <v/>
      </c>
      <c r="AH137" s="11"/>
      <c r="AI137" s="11"/>
    </row>
    <row r="138" spans="1:35" x14ac:dyDescent="0.25">
      <c r="A138" s="24">
        <v>3</v>
      </c>
      <c r="B138" s="11"/>
      <c r="C138" s="11"/>
      <c r="D138" s="11"/>
      <c r="E138" s="11"/>
      <c r="F138" s="11"/>
      <c r="G138" s="11"/>
      <c r="H138" s="11"/>
      <c r="I138" s="11"/>
      <c r="J138" s="11"/>
      <c r="K138" s="11"/>
      <c r="M138" s="24">
        <v>3</v>
      </c>
      <c r="N138" s="11"/>
      <c r="O138" s="11"/>
      <c r="P138" s="11"/>
      <c r="Q138" s="11"/>
      <c r="R138" s="11"/>
      <c r="S138" s="11"/>
      <c r="T138" s="11"/>
      <c r="U138" s="11"/>
      <c r="V138" s="11"/>
      <c r="W138" s="11"/>
      <c r="Y138" s="24">
        <v>3</v>
      </c>
      <c r="Z138" s="11" t="str">
        <f t="shared" si="57"/>
        <v/>
      </c>
      <c r="AA138" s="11" t="str">
        <f t="shared" si="50"/>
        <v/>
      </c>
      <c r="AB138" s="11" t="str">
        <f t="shared" si="51"/>
        <v/>
      </c>
      <c r="AC138" s="11" t="str">
        <f t="shared" si="52"/>
        <v/>
      </c>
      <c r="AD138" s="11" t="str">
        <f t="shared" si="53"/>
        <v/>
      </c>
      <c r="AE138" s="11" t="str">
        <f t="shared" si="54"/>
        <v/>
      </c>
      <c r="AF138" s="11" t="str">
        <f t="shared" si="55"/>
        <v/>
      </c>
      <c r="AG138" s="11" t="str">
        <f t="shared" si="56"/>
        <v/>
      </c>
      <c r="AH138" s="11"/>
      <c r="AI138" s="11"/>
    </row>
    <row r="139" spans="1:35" x14ac:dyDescent="0.25">
      <c r="A139" s="24">
        <v>4</v>
      </c>
      <c r="B139" s="11"/>
      <c r="C139" s="11"/>
      <c r="D139" s="11"/>
      <c r="E139" s="11"/>
      <c r="F139" s="11"/>
      <c r="G139" s="11"/>
      <c r="H139" s="11"/>
      <c r="I139" s="11"/>
      <c r="J139" s="11"/>
      <c r="K139" s="11"/>
      <c r="M139" s="24">
        <v>4</v>
      </c>
      <c r="N139" s="11"/>
      <c r="O139" s="11"/>
      <c r="P139" s="11"/>
      <c r="Q139" s="11"/>
      <c r="R139" s="11"/>
      <c r="S139" s="11"/>
      <c r="T139" s="11"/>
      <c r="U139" s="11"/>
      <c r="V139" s="11"/>
      <c r="W139" s="11"/>
      <c r="Y139" s="24">
        <v>4</v>
      </c>
      <c r="Z139" s="11" t="str">
        <f t="shared" si="57"/>
        <v/>
      </c>
      <c r="AA139" s="11" t="str">
        <f t="shared" si="50"/>
        <v/>
      </c>
      <c r="AB139" s="11" t="str">
        <f t="shared" si="51"/>
        <v/>
      </c>
      <c r="AC139" s="11" t="str">
        <f t="shared" si="52"/>
        <v/>
      </c>
      <c r="AD139" s="11" t="str">
        <f t="shared" si="53"/>
        <v/>
      </c>
      <c r="AE139" s="11" t="str">
        <f t="shared" si="54"/>
        <v/>
      </c>
      <c r="AF139" s="11" t="str">
        <f t="shared" si="55"/>
        <v/>
      </c>
      <c r="AG139" s="11" t="str">
        <f t="shared" si="56"/>
        <v/>
      </c>
      <c r="AH139" s="11"/>
      <c r="AI139" s="11"/>
    </row>
    <row r="140" spans="1:35" x14ac:dyDescent="0.25">
      <c r="A140" s="24">
        <v>5</v>
      </c>
      <c r="B140" s="11"/>
      <c r="C140" s="11"/>
      <c r="D140" s="11"/>
      <c r="E140" s="11"/>
      <c r="F140" s="11"/>
      <c r="G140" s="11"/>
      <c r="H140" s="11"/>
      <c r="I140" s="11"/>
      <c r="J140" s="11"/>
      <c r="K140" s="11"/>
      <c r="M140" s="24">
        <v>5</v>
      </c>
      <c r="N140" s="11"/>
      <c r="O140" s="11"/>
      <c r="P140" s="11"/>
      <c r="Q140" s="11"/>
      <c r="R140" s="11"/>
      <c r="S140" s="11"/>
      <c r="T140" s="11"/>
      <c r="U140" s="11"/>
      <c r="V140" s="11"/>
      <c r="W140" s="11"/>
      <c r="Y140" s="24">
        <v>5</v>
      </c>
      <c r="Z140" s="11" t="str">
        <f t="shared" si="57"/>
        <v/>
      </c>
      <c r="AA140" s="11" t="str">
        <f t="shared" si="50"/>
        <v/>
      </c>
      <c r="AB140" s="11" t="str">
        <f t="shared" si="51"/>
        <v/>
      </c>
      <c r="AC140" s="11" t="str">
        <f t="shared" si="52"/>
        <v/>
      </c>
      <c r="AD140" s="11" t="str">
        <f t="shared" si="53"/>
        <v/>
      </c>
      <c r="AE140" s="11" t="str">
        <f t="shared" si="54"/>
        <v/>
      </c>
      <c r="AF140" s="11" t="str">
        <f t="shared" si="55"/>
        <v/>
      </c>
      <c r="AG140" s="11" t="str">
        <f t="shared" si="56"/>
        <v/>
      </c>
      <c r="AH140" s="11"/>
      <c r="AI140" s="11"/>
    </row>
    <row r="141" spans="1:35" x14ac:dyDescent="0.25">
      <c r="A141" s="24">
        <v>6</v>
      </c>
      <c r="B141" s="11"/>
      <c r="C141" s="11"/>
      <c r="D141" s="11"/>
      <c r="E141" s="11"/>
      <c r="F141" s="11"/>
      <c r="G141" s="11"/>
      <c r="H141" s="11"/>
      <c r="I141" s="11"/>
      <c r="J141" s="11"/>
      <c r="K141" s="11"/>
      <c r="M141" s="24">
        <v>6</v>
      </c>
      <c r="N141" s="11"/>
      <c r="O141" s="11"/>
      <c r="P141" s="11"/>
      <c r="Q141" s="11"/>
      <c r="R141" s="11"/>
      <c r="S141" s="11"/>
      <c r="T141" s="11"/>
      <c r="U141" s="11"/>
      <c r="V141" s="11"/>
      <c r="W141" s="11"/>
      <c r="Y141" s="24">
        <v>6</v>
      </c>
      <c r="Z141" s="11" t="str">
        <f t="shared" si="57"/>
        <v/>
      </c>
      <c r="AA141" s="11" t="str">
        <f t="shared" si="50"/>
        <v/>
      </c>
      <c r="AB141" s="11" t="str">
        <f t="shared" si="51"/>
        <v/>
      </c>
      <c r="AC141" s="11" t="str">
        <f t="shared" si="52"/>
        <v/>
      </c>
      <c r="AD141" s="11" t="str">
        <f t="shared" si="53"/>
        <v/>
      </c>
      <c r="AE141" s="11" t="str">
        <f t="shared" si="54"/>
        <v/>
      </c>
      <c r="AF141" s="11" t="str">
        <f t="shared" si="55"/>
        <v/>
      </c>
      <c r="AG141" s="11" t="str">
        <f t="shared" si="56"/>
        <v/>
      </c>
      <c r="AH141" s="11"/>
      <c r="AI141" s="11"/>
    </row>
    <row r="142" spans="1:35" x14ac:dyDescent="0.25">
      <c r="A142" s="24">
        <v>7</v>
      </c>
      <c r="B142" s="11"/>
      <c r="C142" s="11"/>
      <c r="D142" s="11"/>
      <c r="E142" s="11"/>
      <c r="F142" s="11"/>
      <c r="G142" s="11"/>
      <c r="H142" s="11"/>
      <c r="I142" s="11"/>
      <c r="J142" s="11"/>
      <c r="K142" s="11"/>
      <c r="M142" s="24">
        <v>7</v>
      </c>
      <c r="N142" s="11"/>
      <c r="O142" s="11"/>
      <c r="P142" s="11"/>
      <c r="Q142" s="11"/>
      <c r="R142" s="11"/>
      <c r="S142" s="11"/>
      <c r="T142" s="11"/>
      <c r="U142" s="11"/>
      <c r="V142" s="11"/>
      <c r="W142" s="11"/>
      <c r="Y142" s="24">
        <v>7</v>
      </c>
      <c r="Z142" s="11" t="str">
        <f t="shared" si="57"/>
        <v/>
      </c>
      <c r="AA142" s="11" t="str">
        <f t="shared" si="50"/>
        <v/>
      </c>
      <c r="AB142" s="11" t="str">
        <f t="shared" si="51"/>
        <v/>
      </c>
      <c r="AC142" s="11" t="str">
        <f t="shared" si="52"/>
        <v/>
      </c>
      <c r="AD142" s="11" t="str">
        <f t="shared" si="53"/>
        <v/>
      </c>
      <c r="AE142" s="11" t="str">
        <f t="shared" si="54"/>
        <v/>
      </c>
      <c r="AF142" s="11" t="str">
        <f t="shared" si="55"/>
        <v/>
      </c>
      <c r="AG142" s="11" t="str">
        <f t="shared" si="56"/>
        <v/>
      </c>
      <c r="AH142" s="11"/>
      <c r="AI142" s="11"/>
    </row>
    <row r="143" spans="1:35" x14ac:dyDescent="0.25">
      <c r="A143" s="24">
        <v>8</v>
      </c>
      <c r="B143" s="11"/>
      <c r="C143" s="11"/>
      <c r="D143" s="11"/>
      <c r="E143" s="11"/>
      <c r="F143" s="11"/>
      <c r="G143" s="11"/>
      <c r="H143" s="11"/>
      <c r="I143" s="11"/>
      <c r="J143" s="11"/>
      <c r="K143" s="11"/>
      <c r="M143" s="24">
        <v>8</v>
      </c>
      <c r="N143" s="11"/>
      <c r="O143" s="11"/>
      <c r="P143" s="11"/>
      <c r="Q143" s="11"/>
      <c r="R143" s="11"/>
      <c r="S143" s="11"/>
      <c r="T143" s="11"/>
      <c r="U143" s="11"/>
      <c r="V143" s="11"/>
      <c r="W143" s="11"/>
      <c r="Y143" s="24">
        <v>8</v>
      </c>
      <c r="Z143" s="11" t="str">
        <f t="shared" si="57"/>
        <v/>
      </c>
      <c r="AA143" s="11" t="str">
        <f t="shared" si="50"/>
        <v/>
      </c>
      <c r="AB143" s="11" t="str">
        <f t="shared" si="51"/>
        <v/>
      </c>
      <c r="AC143" s="11" t="str">
        <f t="shared" si="52"/>
        <v/>
      </c>
      <c r="AD143" s="11" t="str">
        <f t="shared" si="53"/>
        <v/>
      </c>
      <c r="AE143" s="11" t="str">
        <f t="shared" si="54"/>
        <v/>
      </c>
      <c r="AF143" s="11" t="str">
        <f t="shared" si="55"/>
        <v/>
      </c>
      <c r="AG143" s="11" t="str">
        <f t="shared" si="56"/>
        <v/>
      </c>
      <c r="AH143" s="11"/>
      <c r="AI143" s="11"/>
    </row>
    <row r="144" spans="1:35" x14ac:dyDescent="0.25">
      <c r="A144" s="24">
        <v>9</v>
      </c>
      <c r="B144" s="11"/>
      <c r="C144" s="11"/>
      <c r="D144" s="11"/>
      <c r="E144" s="11"/>
      <c r="F144" s="11"/>
      <c r="G144" s="11"/>
      <c r="H144" s="11"/>
      <c r="I144" s="11"/>
      <c r="J144" s="11"/>
      <c r="K144" s="11"/>
      <c r="M144" s="24">
        <v>9</v>
      </c>
      <c r="N144" s="11"/>
      <c r="O144" s="11"/>
      <c r="P144" s="11"/>
      <c r="Q144" s="11"/>
      <c r="R144" s="11"/>
      <c r="S144" s="11"/>
      <c r="T144" s="11"/>
      <c r="U144" s="11"/>
      <c r="V144" s="11"/>
      <c r="W144" s="11"/>
      <c r="Y144" s="24">
        <v>9</v>
      </c>
      <c r="Z144" s="11" t="str">
        <f t="shared" si="57"/>
        <v/>
      </c>
      <c r="AA144" s="11" t="str">
        <f t="shared" si="50"/>
        <v/>
      </c>
      <c r="AB144" s="11" t="str">
        <f t="shared" si="51"/>
        <v/>
      </c>
      <c r="AC144" s="11" t="str">
        <f t="shared" si="52"/>
        <v/>
      </c>
      <c r="AD144" s="11" t="str">
        <f t="shared" si="53"/>
        <v/>
      </c>
      <c r="AE144" s="11" t="str">
        <f t="shared" si="54"/>
        <v/>
      </c>
      <c r="AF144" s="11" t="str">
        <f t="shared" si="55"/>
        <v/>
      </c>
      <c r="AG144" s="11" t="str">
        <f t="shared" si="56"/>
        <v/>
      </c>
      <c r="AH144" s="11"/>
      <c r="AI144" s="11"/>
    </row>
    <row r="145" spans="1:35" x14ac:dyDescent="0.25">
      <c r="A145" s="24">
        <v>10</v>
      </c>
      <c r="B145" s="11"/>
      <c r="C145" s="11"/>
      <c r="D145" s="11"/>
      <c r="E145" s="11"/>
      <c r="F145" s="11"/>
      <c r="G145" s="11"/>
      <c r="H145" s="11"/>
      <c r="I145" s="11"/>
      <c r="J145" s="11"/>
      <c r="K145" s="11"/>
      <c r="M145" s="24">
        <v>10</v>
      </c>
      <c r="N145" s="11"/>
      <c r="O145" s="11"/>
      <c r="P145" s="11"/>
      <c r="Q145" s="11"/>
      <c r="R145" s="11"/>
      <c r="S145" s="11"/>
      <c r="T145" s="11"/>
      <c r="U145" s="11"/>
      <c r="V145" s="11"/>
      <c r="W145" s="11"/>
      <c r="Y145" s="24">
        <v>10</v>
      </c>
      <c r="Z145" s="11" t="str">
        <f t="shared" si="57"/>
        <v/>
      </c>
      <c r="AA145" s="11" t="str">
        <f t="shared" si="50"/>
        <v/>
      </c>
      <c r="AB145" s="11" t="str">
        <f t="shared" si="51"/>
        <v/>
      </c>
      <c r="AC145" s="11" t="str">
        <f t="shared" si="52"/>
        <v/>
      </c>
      <c r="AD145" s="11" t="str">
        <f t="shared" si="53"/>
        <v/>
      </c>
      <c r="AE145" s="11" t="str">
        <f t="shared" si="54"/>
        <v/>
      </c>
      <c r="AF145" s="11" t="str">
        <f t="shared" si="55"/>
        <v/>
      </c>
      <c r="AG145" s="11" t="str">
        <f t="shared" si="56"/>
        <v/>
      </c>
      <c r="AH145" s="11"/>
      <c r="AI145" s="11"/>
    </row>
    <row r="146" spans="1:35" x14ac:dyDescent="0.25">
      <c r="A146" s="24">
        <v>11</v>
      </c>
      <c r="B146" s="11"/>
      <c r="C146" s="11"/>
      <c r="D146" s="11"/>
      <c r="E146" s="11"/>
      <c r="F146" s="11"/>
      <c r="G146" s="11"/>
      <c r="H146" s="11"/>
      <c r="I146" s="11"/>
      <c r="J146" s="11"/>
      <c r="K146" s="11"/>
      <c r="M146" s="24">
        <v>11</v>
      </c>
      <c r="N146" s="11"/>
      <c r="O146" s="11"/>
      <c r="P146" s="11"/>
      <c r="Q146" s="11"/>
      <c r="R146" s="11"/>
      <c r="S146" s="11"/>
      <c r="T146" s="11"/>
      <c r="U146" s="11"/>
      <c r="V146" s="11"/>
      <c r="W146" s="11"/>
      <c r="Y146" s="24">
        <v>11</v>
      </c>
      <c r="Z146" s="11" t="str">
        <f t="shared" si="57"/>
        <v/>
      </c>
      <c r="AA146" s="11" t="str">
        <f t="shared" si="50"/>
        <v/>
      </c>
      <c r="AB146" s="11" t="str">
        <f t="shared" si="51"/>
        <v/>
      </c>
      <c r="AC146" s="11" t="str">
        <f t="shared" si="52"/>
        <v/>
      </c>
      <c r="AD146" s="11" t="str">
        <f t="shared" si="53"/>
        <v/>
      </c>
      <c r="AE146" s="11" t="str">
        <f t="shared" si="54"/>
        <v/>
      </c>
      <c r="AF146" s="11" t="str">
        <f t="shared" si="55"/>
        <v/>
      </c>
      <c r="AG146" s="11" t="str">
        <f t="shared" si="56"/>
        <v/>
      </c>
      <c r="AH146" s="11"/>
      <c r="AI146" s="11"/>
    </row>
    <row r="147" spans="1:35" x14ac:dyDescent="0.25">
      <c r="A147" s="24">
        <v>12</v>
      </c>
      <c r="B147" s="11"/>
      <c r="C147" s="11"/>
      <c r="D147" s="11"/>
      <c r="E147" s="11"/>
      <c r="F147" s="11"/>
      <c r="G147" s="11"/>
      <c r="H147" s="11"/>
      <c r="I147" s="11"/>
      <c r="J147" s="11"/>
      <c r="K147" s="11"/>
      <c r="M147" s="24">
        <v>12</v>
      </c>
      <c r="N147" s="11"/>
      <c r="O147" s="11"/>
      <c r="P147" s="11"/>
      <c r="Q147" s="11"/>
      <c r="R147" s="11"/>
      <c r="S147" s="11"/>
      <c r="T147" s="11"/>
      <c r="U147" s="11"/>
      <c r="V147" s="11"/>
      <c r="W147" s="11"/>
      <c r="Y147" s="24">
        <v>12</v>
      </c>
      <c r="Z147" s="11" t="str">
        <f t="shared" si="57"/>
        <v/>
      </c>
      <c r="AA147" s="11" t="str">
        <f t="shared" si="50"/>
        <v/>
      </c>
      <c r="AB147" s="11" t="str">
        <f t="shared" si="51"/>
        <v/>
      </c>
      <c r="AC147" s="11" t="str">
        <f t="shared" si="52"/>
        <v/>
      </c>
      <c r="AD147" s="11" t="str">
        <f t="shared" si="53"/>
        <v/>
      </c>
      <c r="AE147" s="11" t="str">
        <f t="shared" si="54"/>
        <v/>
      </c>
      <c r="AF147" s="11" t="str">
        <f t="shared" si="55"/>
        <v/>
      </c>
      <c r="AG147" s="11" t="str">
        <f t="shared" si="56"/>
        <v/>
      </c>
      <c r="AH147" s="11"/>
      <c r="AI147" s="11"/>
    </row>
    <row r="148" spans="1:35" x14ac:dyDescent="0.25">
      <c r="A148" s="24">
        <v>13</v>
      </c>
      <c r="B148" s="11"/>
      <c r="C148" s="11"/>
      <c r="D148" s="11"/>
      <c r="E148" s="11"/>
      <c r="F148" s="11"/>
      <c r="G148" s="11"/>
      <c r="H148" s="11"/>
      <c r="I148" s="11"/>
      <c r="J148" s="11"/>
      <c r="K148" s="11"/>
      <c r="M148" s="24">
        <v>13</v>
      </c>
      <c r="N148" s="11"/>
      <c r="O148" s="11"/>
      <c r="P148" s="11"/>
      <c r="Q148" s="11"/>
      <c r="R148" s="11"/>
      <c r="S148" s="11"/>
      <c r="T148" s="11"/>
      <c r="U148" s="11"/>
      <c r="V148" s="11"/>
      <c r="W148" s="11"/>
      <c r="Y148" s="24">
        <v>13</v>
      </c>
      <c r="Z148" s="11" t="str">
        <f t="shared" si="57"/>
        <v/>
      </c>
      <c r="AA148" s="11" t="str">
        <f t="shared" si="50"/>
        <v/>
      </c>
      <c r="AB148" s="11" t="str">
        <f t="shared" si="51"/>
        <v/>
      </c>
      <c r="AC148" s="11" t="str">
        <f t="shared" si="52"/>
        <v/>
      </c>
      <c r="AD148" s="11" t="str">
        <f t="shared" si="53"/>
        <v/>
      </c>
      <c r="AE148" s="11" t="str">
        <f t="shared" si="54"/>
        <v/>
      </c>
      <c r="AF148" s="11" t="str">
        <f t="shared" si="55"/>
        <v/>
      </c>
      <c r="AG148" s="11" t="str">
        <f t="shared" si="56"/>
        <v/>
      </c>
      <c r="AH148" s="11"/>
      <c r="AI148" s="11"/>
    </row>
    <row r="149" spans="1:35" x14ac:dyDescent="0.25">
      <c r="A149" s="24">
        <v>14</v>
      </c>
      <c r="B149" s="11"/>
      <c r="C149" s="11"/>
      <c r="D149" s="11"/>
      <c r="E149" s="11"/>
      <c r="F149" s="11"/>
      <c r="G149" s="11"/>
      <c r="H149" s="11"/>
      <c r="I149" s="11"/>
      <c r="J149" s="11"/>
      <c r="K149" s="11"/>
      <c r="M149" s="24">
        <v>14</v>
      </c>
      <c r="N149" s="11"/>
      <c r="O149" s="11"/>
      <c r="P149" s="11"/>
      <c r="Q149" s="11"/>
      <c r="R149" s="11"/>
      <c r="S149" s="11"/>
      <c r="T149" s="11"/>
      <c r="U149" s="11"/>
      <c r="V149" s="11"/>
      <c r="W149" s="11"/>
      <c r="Y149" s="24">
        <v>14</v>
      </c>
      <c r="Z149" s="11" t="str">
        <f t="shared" si="57"/>
        <v/>
      </c>
      <c r="AA149" s="11" t="str">
        <f t="shared" si="50"/>
        <v/>
      </c>
      <c r="AB149" s="11" t="str">
        <f t="shared" si="51"/>
        <v/>
      </c>
      <c r="AC149" s="11" t="str">
        <f t="shared" si="52"/>
        <v/>
      </c>
      <c r="AD149" s="11" t="str">
        <f t="shared" si="53"/>
        <v/>
      </c>
      <c r="AE149" s="11" t="str">
        <f t="shared" si="54"/>
        <v/>
      </c>
      <c r="AF149" s="11" t="str">
        <f t="shared" si="55"/>
        <v/>
      </c>
      <c r="AG149" s="11" t="str">
        <f t="shared" si="56"/>
        <v/>
      </c>
      <c r="AH149" s="11"/>
      <c r="AI149" s="11"/>
    </row>
    <row r="150" spans="1:35" x14ac:dyDescent="0.25">
      <c r="A150" s="24">
        <v>15</v>
      </c>
      <c r="B150" s="11"/>
      <c r="C150" s="11"/>
      <c r="D150" s="11"/>
      <c r="E150" s="11"/>
      <c r="F150" s="11"/>
      <c r="G150" s="11"/>
      <c r="H150" s="11"/>
      <c r="I150" s="11"/>
      <c r="J150" s="11"/>
      <c r="K150" s="11"/>
      <c r="M150" s="24">
        <v>15</v>
      </c>
      <c r="N150" s="11"/>
      <c r="O150" s="11"/>
      <c r="P150" s="11"/>
      <c r="Q150" s="11"/>
      <c r="R150" s="11"/>
      <c r="S150" s="11"/>
      <c r="T150" s="11"/>
      <c r="U150" s="11"/>
      <c r="V150" s="11"/>
      <c r="W150" s="11"/>
      <c r="Y150" s="24">
        <v>15</v>
      </c>
      <c r="Z150" s="11" t="str">
        <f t="shared" si="57"/>
        <v/>
      </c>
      <c r="AA150" s="11" t="str">
        <f t="shared" si="50"/>
        <v/>
      </c>
      <c r="AB150" s="11" t="str">
        <f t="shared" si="51"/>
        <v/>
      </c>
      <c r="AC150" s="11" t="str">
        <f t="shared" si="52"/>
        <v/>
      </c>
      <c r="AD150" s="11" t="str">
        <f t="shared" si="53"/>
        <v/>
      </c>
      <c r="AE150" s="11" t="str">
        <f t="shared" si="54"/>
        <v/>
      </c>
      <c r="AF150" s="11" t="str">
        <f t="shared" si="55"/>
        <v/>
      </c>
      <c r="AG150" s="11" t="str">
        <f t="shared" si="56"/>
        <v/>
      </c>
      <c r="AH150" s="11"/>
      <c r="AI150" s="11"/>
    </row>
    <row r="151" spans="1:35" x14ac:dyDescent="0.25">
      <c r="A151" s="24">
        <v>16</v>
      </c>
      <c r="B151" s="11"/>
      <c r="C151" s="11"/>
      <c r="D151" s="11"/>
      <c r="E151" s="11"/>
      <c r="F151" s="11"/>
      <c r="G151" s="11"/>
      <c r="H151" s="11"/>
      <c r="I151" s="11"/>
      <c r="J151" s="11"/>
      <c r="K151" s="11"/>
      <c r="M151" s="24">
        <v>16</v>
      </c>
      <c r="N151" s="11"/>
      <c r="O151" s="11"/>
      <c r="P151" s="11"/>
      <c r="Q151" s="11"/>
      <c r="R151" s="11"/>
      <c r="S151" s="11"/>
      <c r="T151" s="11"/>
      <c r="U151" s="11"/>
      <c r="V151" s="11"/>
      <c r="W151" s="11"/>
      <c r="Y151" s="24">
        <v>16</v>
      </c>
      <c r="Z151" s="11" t="str">
        <f t="shared" si="57"/>
        <v/>
      </c>
      <c r="AA151" s="11" t="str">
        <f t="shared" si="50"/>
        <v/>
      </c>
      <c r="AB151" s="11" t="str">
        <f t="shared" si="51"/>
        <v/>
      </c>
      <c r="AC151" s="11" t="str">
        <f t="shared" si="52"/>
        <v/>
      </c>
      <c r="AD151" s="11" t="str">
        <f t="shared" si="53"/>
        <v/>
      </c>
      <c r="AE151" s="11" t="str">
        <f t="shared" si="54"/>
        <v/>
      </c>
      <c r="AF151" s="11" t="str">
        <f t="shared" si="55"/>
        <v/>
      </c>
      <c r="AG151" s="11" t="str">
        <f t="shared" si="56"/>
        <v/>
      </c>
      <c r="AH151" s="11"/>
      <c r="AI151" s="11"/>
    </row>
    <row r="152" spans="1:35" x14ac:dyDescent="0.25">
      <c r="A152" s="24">
        <v>17</v>
      </c>
      <c r="B152" s="11"/>
      <c r="C152" s="11"/>
      <c r="D152" s="11"/>
      <c r="E152" s="11"/>
      <c r="F152" s="11"/>
      <c r="G152" s="11"/>
      <c r="H152" s="11"/>
      <c r="I152" s="11"/>
      <c r="J152" s="11"/>
      <c r="K152" s="11"/>
      <c r="M152" s="24">
        <v>17</v>
      </c>
      <c r="N152" s="11"/>
      <c r="O152" s="11"/>
      <c r="P152" s="11"/>
      <c r="Q152" s="11"/>
      <c r="R152" s="11"/>
      <c r="S152" s="11"/>
      <c r="T152" s="11"/>
      <c r="U152" s="11"/>
      <c r="V152" s="11"/>
      <c r="W152" s="11"/>
      <c r="Y152" s="24">
        <v>17</v>
      </c>
      <c r="Z152" s="11" t="str">
        <f t="shared" si="57"/>
        <v/>
      </c>
      <c r="AA152" s="11" t="str">
        <f t="shared" si="50"/>
        <v/>
      </c>
      <c r="AB152" s="11" t="str">
        <f t="shared" si="51"/>
        <v/>
      </c>
      <c r="AC152" s="11" t="str">
        <f t="shared" si="52"/>
        <v/>
      </c>
      <c r="AD152" s="11" t="str">
        <f t="shared" si="53"/>
        <v/>
      </c>
      <c r="AE152" s="11" t="str">
        <f t="shared" si="54"/>
        <v/>
      </c>
      <c r="AF152" s="11" t="str">
        <f t="shared" si="55"/>
        <v/>
      </c>
      <c r="AG152" s="11" t="str">
        <f t="shared" si="56"/>
        <v/>
      </c>
      <c r="AH152" s="11"/>
      <c r="AI152" s="11"/>
    </row>
    <row r="153" spans="1:35" x14ac:dyDescent="0.25">
      <c r="A153" s="24">
        <v>18</v>
      </c>
      <c r="B153" s="11"/>
      <c r="C153" s="11"/>
      <c r="D153" s="11"/>
      <c r="E153" s="11"/>
      <c r="F153" s="11"/>
      <c r="G153" s="11"/>
      <c r="H153" s="11"/>
      <c r="I153" s="11"/>
      <c r="J153" s="11"/>
      <c r="K153" s="11"/>
      <c r="M153" s="24">
        <v>18</v>
      </c>
      <c r="N153" s="11"/>
      <c r="O153" s="11"/>
      <c r="P153" s="11"/>
      <c r="Q153" s="11"/>
      <c r="R153" s="11"/>
      <c r="S153" s="11"/>
      <c r="T153" s="11"/>
      <c r="U153" s="11"/>
      <c r="V153" s="11"/>
      <c r="W153" s="11"/>
      <c r="Y153" s="24">
        <v>18</v>
      </c>
      <c r="Z153" s="11" t="str">
        <f t="shared" si="57"/>
        <v/>
      </c>
      <c r="AA153" s="11" t="str">
        <f t="shared" si="50"/>
        <v/>
      </c>
      <c r="AB153" s="11" t="str">
        <f t="shared" si="51"/>
        <v/>
      </c>
      <c r="AC153" s="11" t="str">
        <f t="shared" si="52"/>
        <v/>
      </c>
      <c r="AD153" s="11" t="str">
        <f t="shared" si="53"/>
        <v/>
      </c>
      <c r="AE153" s="11" t="str">
        <f t="shared" si="54"/>
        <v/>
      </c>
      <c r="AF153" s="11" t="str">
        <f t="shared" si="55"/>
        <v/>
      </c>
      <c r="AG153" s="11" t="str">
        <f t="shared" si="56"/>
        <v/>
      </c>
      <c r="AH153" s="11"/>
      <c r="AI153" s="11"/>
    </row>
  </sheetData>
  <mergeCells count="3">
    <mergeCell ref="B1:F1"/>
    <mergeCell ref="N1:R1"/>
    <mergeCell ref="Z1:AD1"/>
  </mergeCells>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H253"/>
  <sheetViews>
    <sheetView zoomScaleNormal="100" workbookViewId="0">
      <selection activeCell="J27" sqref="J27"/>
    </sheetView>
  </sheetViews>
  <sheetFormatPr defaultRowHeight="15" x14ac:dyDescent="0.25"/>
  <cols>
    <col min="1" max="1" width="3.5703125" bestFit="1" customWidth="1"/>
    <col min="2" max="2" width="22.42578125" bestFit="1" customWidth="1"/>
    <col min="4" max="4" width="16.42578125" bestFit="1" customWidth="1"/>
    <col min="6" max="6" width="3" bestFit="1" customWidth="1"/>
    <col min="10" max="10" width="5.140625" bestFit="1" customWidth="1"/>
    <col min="11" max="11" width="13.28515625" bestFit="1" customWidth="1"/>
    <col min="14" max="22" width="2" bestFit="1" customWidth="1"/>
    <col min="23" max="28" width="3" bestFit="1" customWidth="1"/>
    <col min="29" max="29" width="4.140625" customWidth="1"/>
    <col min="30" max="30" width="8.7109375" bestFit="1" customWidth="1"/>
    <col min="31" max="39" width="2" bestFit="1" customWidth="1"/>
    <col min="40" max="45" width="3" bestFit="1" customWidth="1"/>
    <col min="48" max="48" width="50.42578125" bestFit="1" customWidth="1"/>
    <col min="50" max="50" width="11.42578125" bestFit="1" customWidth="1"/>
  </cols>
  <sheetData>
    <row r="1" spans="1:60" x14ac:dyDescent="0.25">
      <c r="A1" s="142" t="s">
        <v>321</v>
      </c>
      <c r="B1" s="142"/>
      <c r="C1">
        <f>output!L7*2</f>
        <v>374</v>
      </c>
      <c r="D1">
        <v>15</v>
      </c>
      <c r="AU1" s="144" t="s">
        <v>335</v>
      </c>
      <c r="AV1" s="145"/>
      <c r="AW1" s="145"/>
      <c r="AX1" s="146"/>
      <c r="AZ1" s="133" t="s">
        <v>449</v>
      </c>
      <c r="BA1" s="133"/>
      <c r="BB1" s="133"/>
    </row>
    <row r="2" spans="1:60" x14ac:dyDescent="0.25">
      <c r="A2" s="106" t="s">
        <v>291</v>
      </c>
      <c r="B2" s="106" t="s">
        <v>323</v>
      </c>
      <c r="C2" s="106" t="s">
        <v>322</v>
      </c>
      <c r="D2" s="106" t="s">
        <v>321</v>
      </c>
      <c r="F2" s="133" t="s">
        <v>445</v>
      </c>
      <c r="G2" s="133"/>
      <c r="H2" s="133"/>
      <c r="J2" s="143" t="s">
        <v>324</v>
      </c>
      <c r="K2" s="143"/>
      <c r="M2" s="143" t="s">
        <v>333</v>
      </c>
      <c r="N2" s="143"/>
      <c r="O2" s="143"/>
      <c r="P2" s="143"/>
      <c r="Q2" s="143"/>
      <c r="R2" s="143"/>
      <c r="S2" s="143"/>
      <c r="T2" s="143"/>
      <c r="U2" s="143"/>
      <c r="V2" s="143"/>
      <c r="W2" s="143"/>
      <c r="X2" s="143"/>
      <c r="Y2" s="143"/>
      <c r="Z2" s="143"/>
      <c r="AA2" s="143"/>
      <c r="AB2" s="143"/>
      <c r="AD2" s="143" t="s">
        <v>334</v>
      </c>
      <c r="AE2" s="143"/>
      <c r="AF2" s="143"/>
      <c r="AG2" s="143"/>
      <c r="AH2" s="143"/>
      <c r="AI2" s="143"/>
      <c r="AJ2" s="143"/>
      <c r="AK2" s="143"/>
      <c r="AL2" s="143"/>
      <c r="AM2" s="143"/>
      <c r="AN2" s="143"/>
      <c r="AO2" s="143"/>
      <c r="AP2" s="143"/>
      <c r="AQ2" s="143"/>
      <c r="AR2" s="143"/>
      <c r="AS2" s="143"/>
      <c r="AU2" s="147" t="s">
        <v>291</v>
      </c>
      <c r="AV2" s="107" t="s">
        <v>336</v>
      </c>
      <c r="AW2" s="107" t="s">
        <v>337</v>
      </c>
      <c r="AX2" s="113" t="s">
        <v>338</v>
      </c>
      <c r="AZ2" s="11"/>
      <c r="BA2" s="130" t="s">
        <v>265</v>
      </c>
      <c r="BB2" s="130" t="s">
        <v>448</v>
      </c>
      <c r="BD2" s="11"/>
      <c r="BE2" s="107" t="s">
        <v>446</v>
      </c>
      <c r="BF2" s="107" t="s">
        <v>447</v>
      </c>
      <c r="BG2" s="107" t="s">
        <v>265</v>
      </c>
      <c r="BH2" s="107" t="s">
        <v>448</v>
      </c>
    </row>
    <row r="3" spans="1:60" ht="15.75" thickBot="1" x14ac:dyDescent="0.3">
      <c r="A3" s="106"/>
      <c r="B3" s="107">
        <v>1</v>
      </c>
      <c r="C3" s="107">
        <v>2</v>
      </c>
      <c r="D3" s="107">
        <v>3</v>
      </c>
      <c r="F3" s="11"/>
      <c r="G3" s="130">
        <v>1</v>
      </c>
      <c r="H3" s="130">
        <v>2</v>
      </c>
      <c r="J3" s="106" t="s">
        <v>319</v>
      </c>
      <c r="K3" s="106" t="s">
        <v>320</v>
      </c>
      <c r="M3" s="106" t="s">
        <v>332</v>
      </c>
      <c r="N3" s="106">
        <v>1</v>
      </c>
      <c r="O3" s="106">
        <v>2</v>
      </c>
      <c r="P3" s="106">
        <v>3</v>
      </c>
      <c r="Q3" s="106">
        <v>4</v>
      </c>
      <c r="R3" s="106">
        <v>5</v>
      </c>
      <c r="S3" s="106">
        <v>6</v>
      </c>
      <c r="T3" s="106">
        <v>7</v>
      </c>
      <c r="U3" s="106">
        <v>8</v>
      </c>
      <c r="V3" s="106"/>
      <c r="W3" s="106"/>
      <c r="X3" s="106"/>
      <c r="Y3" s="106"/>
      <c r="Z3" s="106"/>
      <c r="AA3" s="106"/>
      <c r="AB3" s="106"/>
      <c r="AD3" s="106" t="s">
        <v>332</v>
      </c>
      <c r="AE3" s="106">
        <v>1</v>
      </c>
      <c r="AF3" s="106">
        <v>2</v>
      </c>
      <c r="AG3" s="106">
        <v>3</v>
      </c>
      <c r="AH3" s="106">
        <v>4</v>
      </c>
      <c r="AI3" s="106">
        <v>5</v>
      </c>
      <c r="AJ3" s="106">
        <v>6</v>
      </c>
      <c r="AK3" s="106">
        <v>7</v>
      </c>
      <c r="AL3" s="106">
        <v>8</v>
      </c>
      <c r="AM3" s="106"/>
      <c r="AN3" s="106"/>
      <c r="AO3" s="106"/>
      <c r="AP3" s="106"/>
      <c r="AQ3" s="106"/>
      <c r="AR3" s="106"/>
      <c r="AS3" s="106"/>
      <c r="AU3" s="148"/>
      <c r="AV3" s="114">
        <v>1</v>
      </c>
      <c r="AW3" s="114">
        <v>2</v>
      </c>
      <c r="AX3" s="115">
        <v>3</v>
      </c>
      <c r="AZ3" s="11"/>
      <c r="BA3" s="130">
        <v>1</v>
      </c>
      <c r="BB3" s="130">
        <v>2</v>
      </c>
      <c r="BD3" s="11"/>
      <c r="BE3" s="107">
        <v>1</v>
      </c>
      <c r="BF3" s="107">
        <v>2</v>
      </c>
      <c r="BG3" s="107">
        <v>3</v>
      </c>
      <c r="BH3" s="107">
        <v>4</v>
      </c>
    </row>
    <row r="4" spans="1:60" x14ac:dyDescent="0.25">
      <c r="A4" s="11">
        <v>1</v>
      </c>
      <c r="B4" s="11" t="s">
        <v>292</v>
      </c>
      <c r="C4" s="5">
        <v>1</v>
      </c>
      <c r="D4" s="5">
        <v>16</v>
      </c>
      <c r="F4" s="11">
        <v>1</v>
      </c>
      <c r="G4" s="5">
        <v>1</v>
      </c>
      <c r="H4" s="5">
        <v>91</v>
      </c>
      <c r="J4" s="5">
        <v>1</v>
      </c>
      <c r="K4" s="5">
        <v>1</v>
      </c>
      <c r="M4" s="11">
        <v>1</v>
      </c>
      <c r="N4" s="11">
        <v>1</v>
      </c>
      <c r="O4" s="11">
        <v>0</v>
      </c>
      <c r="P4" s="11">
        <v>0</v>
      </c>
      <c r="Q4" s="11">
        <v>0</v>
      </c>
      <c r="R4" s="11">
        <v>0</v>
      </c>
      <c r="S4" s="11">
        <v>0</v>
      </c>
      <c r="T4" s="11">
        <v>0</v>
      </c>
      <c r="U4" s="11">
        <v>0</v>
      </c>
      <c r="V4" s="11"/>
      <c r="W4" s="11"/>
      <c r="X4" s="11"/>
      <c r="Y4" s="11"/>
      <c r="Z4" s="11"/>
      <c r="AA4" s="11"/>
      <c r="AB4" s="11"/>
      <c r="AD4" s="11"/>
      <c r="AE4" s="11"/>
      <c r="AF4" s="11"/>
      <c r="AG4" s="11"/>
      <c r="AH4" s="11"/>
      <c r="AI4" s="11"/>
      <c r="AJ4" s="11"/>
      <c r="AK4" s="11"/>
      <c r="AL4" s="11"/>
      <c r="AM4" s="11"/>
      <c r="AN4" s="11"/>
      <c r="AO4" s="11"/>
      <c r="AP4" s="11"/>
      <c r="AQ4" s="11"/>
      <c r="AR4" s="11"/>
      <c r="AS4" s="11"/>
      <c r="AU4" s="109">
        <v>1</v>
      </c>
      <c r="AV4" s="110" t="s">
        <v>74</v>
      </c>
      <c r="AW4" s="111">
        <v>70</v>
      </c>
      <c r="AX4" s="112">
        <v>1</v>
      </c>
      <c r="AZ4" s="130">
        <v>1</v>
      </c>
      <c r="BA4" s="5">
        <v>4</v>
      </c>
      <c r="BB4" s="5">
        <v>6</v>
      </c>
      <c r="BD4" s="11">
        <v>1</v>
      </c>
      <c r="BE4" s="11">
        <v>1</v>
      </c>
      <c r="BF4" s="11">
        <v>3</v>
      </c>
      <c r="BG4" s="11">
        <v>4</v>
      </c>
      <c r="BH4" s="11">
        <v>6</v>
      </c>
    </row>
    <row r="5" spans="1:60" x14ac:dyDescent="0.25">
      <c r="A5" s="11">
        <v>2</v>
      </c>
      <c r="B5" s="11" t="s">
        <v>293</v>
      </c>
      <c r="C5" s="5">
        <v>1</v>
      </c>
      <c r="D5" s="5">
        <v>16</v>
      </c>
      <c r="F5" s="11">
        <v>2</v>
      </c>
      <c r="G5" s="5">
        <v>1</v>
      </c>
      <c r="H5" s="5">
        <v>150</v>
      </c>
      <c r="J5" s="5">
        <v>2</v>
      </c>
      <c r="K5" s="5">
        <v>2</v>
      </c>
      <c r="M5" s="11">
        <v>2</v>
      </c>
      <c r="N5" s="11">
        <v>0</v>
      </c>
      <c r="O5" s="11">
        <v>0</v>
      </c>
      <c r="P5" s="11">
        <v>0</v>
      </c>
      <c r="Q5" s="11">
        <v>0</v>
      </c>
      <c r="R5" s="11">
        <v>0</v>
      </c>
      <c r="S5" s="11">
        <v>0</v>
      </c>
      <c r="T5" s="11">
        <v>0</v>
      </c>
      <c r="U5" s="11">
        <v>0</v>
      </c>
      <c r="V5" s="11"/>
      <c r="W5" s="11"/>
      <c r="X5" s="11"/>
      <c r="Y5" s="11"/>
      <c r="Z5" s="11"/>
      <c r="AA5" s="11"/>
      <c r="AB5" s="11"/>
      <c r="AD5" s="11"/>
      <c r="AE5" s="11"/>
      <c r="AF5" s="11"/>
      <c r="AG5" s="11"/>
      <c r="AH5" s="11"/>
      <c r="AI5" s="11"/>
      <c r="AJ5" s="11"/>
      <c r="AK5" s="11"/>
      <c r="AL5" s="11"/>
      <c r="AM5" s="11"/>
      <c r="AN5" s="11"/>
      <c r="AO5" s="11"/>
      <c r="AP5" s="11"/>
      <c r="AQ5" s="11"/>
      <c r="AR5" s="11"/>
      <c r="AS5" s="11"/>
      <c r="AU5" s="12">
        <v>2</v>
      </c>
      <c r="AV5" s="45" t="s">
        <v>75</v>
      </c>
      <c r="AW5" s="44">
        <v>71</v>
      </c>
      <c r="AX5" s="108">
        <v>2</v>
      </c>
      <c r="AZ5" s="130">
        <v>2</v>
      </c>
      <c r="BA5" s="5">
        <v>7</v>
      </c>
      <c r="BB5" s="5">
        <v>7</v>
      </c>
      <c r="BD5" s="11">
        <v>2</v>
      </c>
      <c r="BE5" s="11">
        <v>1</v>
      </c>
      <c r="BF5" s="11">
        <v>4</v>
      </c>
      <c r="BG5" s="11">
        <v>4</v>
      </c>
      <c r="BH5" s="11">
        <v>6</v>
      </c>
    </row>
    <row r="6" spans="1:60" x14ac:dyDescent="0.25">
      <c r="A6" s="11">
        <v>3</v>
      </c>
      <c r="B6" s="11" t="s">
        <v>294</v>
      </c>
      <c r="C6" s="5">
        <v>1</v>
      </c>
      <c r="D6" s="5">
        <v>16</v>
      </c>
      <c r="F6" s="11">
        <v>3</v>
      </c>
      <c r="G6" s="5">
        <v>1</v>
      </c>
      <c r="H6" s="5">
        <v>13</v>
      </c>
      <c r="J6" s="5">
        <v>3</v>
      </c>
      <c r="K6" s="5">
        <v>3</v>
      </c>
      <c r="M6" s="11">
        <v>3</v>
      </c>
      <c r="N6" s="11">
        <v>0</v>
      </c>
      <c r="O6" s="11">
        <v>0</v>
      </c>
      <c r="P6" s="11">
        <v>0</v>
      </c>
      <c r="Q6" s="11">
        <v>0</v>
      </c>
      <c r="R6" s="11">
        <v>0</v>
      </c>
      <c r="S6" s="11">
        <v>0</v>
      </c>
      <c r="T6" s="11">
        <v>0</v>
      </c>
      <c r="U6" s="11">
        <v>0</v>
      </c>
      <c r="V6" s="11"/>
      <c r="W6" s="11"/>
      <c r="X6" s="11"/>
      <c r="Y6" s="11"/>
      <c r="Z6" s="11"/>
      <c r="AA6" s="11"/>
      <c r="AB6" s="11"/>
      <c r="AD6" s="11"/>
      <c r="AE6" s="11"/>
      <c r="AF6" s="11"/>
      <c r="AG6" s="11"/>
      <c r="AH6" s="11"/>
      <c r="AI6" s="11"/>
      <c r="AJ6" s="11"/>
      <c r="AK6" s="11"/>
      <c r="AL6" s="11"/>
      <c r="AM6" s="11"/>
      <c r="AN6" s="11"/>
      <c r="AO6" s="11"/>
      <c r="AP6" s="11"/>
      <c r="AQ6" s="11"/>
      <c r="AR6" s="11"/>
      <c r="AS6" s="11"/>
      <c r="AU6" s="12">
        <v>3</v>
      </c>
      <c r="AV6" s="46" t="s">
        <v>76</v>
      </c>
      <c r="AW6" s="44">
        <v>71</v>
      </c>
      <c r="AX6" s="108">
        <v>1</v>
      </c>
      <c r="AZ6" s="130">
        <v>3</v>
      </c>
      <c r="BA6" s="5">
        <v>1</v>
      </c>
      <c r="BB6" s="5">
        <v>5</v>
      </c>
      <c r="BD6" s="11">
        <v>3</v>
      </c>
      <c r="BE6" s="11">
        <v>2</v>
      </c>
      <c r="BF6" s="11">
        <v>2</v>
      </c>
      <c r="BG6" s="11">
        <v>7</v>
      </c>
      <c r="BH6" s="11">
        <v>7</v>
      </c>
    </row>
    <row r="7" spans="1:60" x14ac:dyDescent="0.25">
      <c r="A7" s="11">
        <v>4</v>
      </c>
      <c r="B7" s="11" t="s">
        <v>295</v>
      </c>
      <c r="C7" s="5">
        <v>1</v>
      </c>
      <c r="D7" s="5">
        <v>16</v>
      </c>
      <c r="F7" s="11"/>
      <c r="G7" s="5"/>
      <c r="H7" s="5"/>
      <c r="J7" s="5">
        <v>4</v>
      </c>
      <c r="K7" s="5">
        <v>4</v>
      </c>
      <c r="M7" s="11">
        <v>4</v>
      </c>
      <c r="N7" s="11">
        <v>0</v>
      </c>
      <c r="O7" s="11">
        <v>0</v>
      </c>
      <c r="P7" s="11">
        <v>0</v>
      </c>
      <c r="Q7" s="11">
        <v>0</v>
      </c>
      <c r="R7" s="11">
        <v>0</v>
      </c>
      <c r="S7" s="11">
        <v>0</v>
      </c>
      <c r="T7" s="11">
        <v>0</v>
      </c>
      <c r="U7" s="11">
        <v>0</v>
      </c>
      <c r="V7" s="11"/>
      <c r="W7" s="11"/>
      <c r="X7" s="11"/>
      <c r="Y7" s="11"/>
      <c r="Z7" s="11"/>
      <c r="AA7" s="11"/>
      <c r="AB7" s="11"/>
      <c r="AD7" s="11"/>
      <c r="AE7" s="11"/>
      <c r="AF7" s="11"/>
      <c r="AG7" s="11"/>
      <c r="AH7" s="11"/>
      <c r="AI7" s="11"/>
      <c r="AJ7" s="11"/>
      <c r="AK7" s="11"/>
      <c r="AL7" s="11"/>
      <c r="AM7" s="11"/>
      <c r="AN7" s="11"/>
      <c r="AO7" s="11"/>
      <c r="AP7" s="11"/>
      <c r="AQ7" s="11"/>
      <c r="AR7" s="11"/>
      <c r="AS7" s="11"/>
      <c r="AU7" s="12">
        <v>4</v>
      </c>
      <c r="AV7" s="45" t="s">
        <v>77</v>
      </c>
      <c r="AW7" s="44">
        <v>75</v>
      </c>
      <c r="AX7" s="108">
        <v>1</v>
      </c>
      <c r="AZ7" s="130">
        <v>4</v>
      </c>
      <c r="BA7" s="5">
        <v>1</v>
      </c>
      <c r="BB7" s="5">
        <v>7</v>
      </c>
      <c r="BD7" s="11">
        <v>4</v>
      </c>
      <c r="BE7" s="11">
        <v>2</v>
      </c>
      <c r="BF7" s="11">
        <v>4</v>
      </c>
      <c r="BG7" s="11">
        <v>7</v>
      </c>
      <c r="BH7" s="11">
        <v>7</v>
      </c>
    </row>
    <row r="8" spans="1:60" x14ac:dyDescent="0.25">
      <c r="A8" s="11">
        <v>5</v>
      </c>
      <c r="B8" s="11" t="s">
        <v>296</v>
      </c>
      <c r="C8" s="5">
        <v>1</v>
      </c>
      <c r="D8" s="5">
        <v>16</v>
      </c>
      <c r="F8" s="11"/>
      <c r="G8" s="5"/>
      <c r="H8" s="5"/>
      <c r="J8" s="5">
        <v>5</v>
      </c>
      <c r="K8" s="5">
        <v>5</v>
      </c>
      <c r="M8" s="11">
        <v>5</v>
      </c>
      <c r="N8" s="11">
        <v>0</v>
      </c>
      <c r="O8" s="11">
        <v>0</v>
      </c>
      <c r="P8" s="11">
        <v>0</v>
      </c>
      <c r="Q8" s="11">
        <v>0</v>
      </c>
      <c r="R8" s="11">
        <v>0</v>
      </c>
      <c r="S8" s="11">
        <v>0</v>
      </c>
      <c r="T8" s="11">
        <v>0</v>
      </c>
      <c r="U8" s="11">
        <v>0</v>
      </c>
      <c r="V8" s="11"/>
      <c r="W8" s="11"/>
      <c r="X8" s="11"/>
      <c r="Y8" s="11"/>
      <c r="Z8" s="11"/>
      <c r="AA8" s="11"/>
      <c r="AB8" s="11"/>
      <c r="AD8" s="11"/>
      <c r="AE8" s="11"/>
      <c r="AF8" s="11"/>
      <c r="AG8" s="11"/>
      <c r="AH8" s="11"/>
      <c r="AI8" s="11"/>
      <c r="AJ8" s="11"/>
      <c r="AK8" s="11"/>
      <c r="AL8" s="11"/>
      <c r="AM8" s="11"/>
      <c r="AN8" s="11"/>
      <c r="AO8" s="11"/>
      <c r="AP8" s="11"/>
      <c r="AQ8" s="11"/>
      <c r="AR8" s="11"/>
      <c r="AS8" s="11"/>
      <c r="AU8" s="12">
        <v>5</v>
      </c>
      <c r="AV8" s="43" t="s">
        <v>78</v>
      </c>
      <c r="AW8" s="44">
        <v>75</v>
      </c>
      <c r="AX8" s="108">
        <v>2</v>
      </c>
      <c r="AZ8" s="130">
        <v>5</v>
      </c>
      <c r="BA8" s="5">
        <v>6</v>
      </c>
      <c r="BB8" s="5">
        <v>2</v>
      </c>
      <c r="BD8" s="11">
        <v>5</v>
      </c>
      <c r="BE8" s="11">
        <v>3</v>
      </c>
      <c r="BF8" s="11">
        <v>1</v>
      </c>
      <c r="BG8" s="11">
        <v>1</v>
      </c>
      <c r="BH8" s="11">
        <v>5</v>
      </c>
    </row>
    <row r="9" spans="1:60" x14ac:dyDescent="0.25">
      <c r="A9" s="11">
        <v>6</v>
      </c>
      <c r="B9" s="11" t="s">
        <v>297</v>
      </c>
      <c r="C9" s="5">
        <v>1</v>
      </c>
      <c r="D9" s="5">
        <v>16</v>
      </c>
      <c r="F9" s="11"/>
      <c r="G9" s="5"/>
      <c r="H9" s="5"/>
      <c r="J9" s="5">
        <v>6</v>
      </c>
      <c r="K9" s="5">
        <v>6</v>
      </c>
      <c r="M9" s="11">
        <v>6</v>
      </c>
      <c r="N9" s="11">
        <v>0</v>
      </c>
      <c r="O9" s="11">
        <v>0</v>
      </c>
      <c r="P9" s="11">
        <v>0</v>
      </c>
      <c r="Q9" s="11">
        <v>0</v>
      </c>
      <c r="R9" s="11">
        <v>0</v>
      </c>
      <c r="S9" s="11">
        <v>0</v>
      </c>
      <c r="T9" s="11">
        <v>0</v>
      </c>
      <c r="U9" s="11">
        <v>0</v>
      </c>
      <c r="V9" s="11"/>
      <c r="W9" s="11"/>
      <c r="X9" s="11"/>
      <c r="Y9" s="11"/>
      <c r="Z9" s="11"/>
      <c r="AA9" s="11"/>
      <c r="AB9" s="11"/>
      <c r="AD9" s="11"/>
      <c r="AE9" s="11"/>
      <c r="AF9" s="11"/>
      <c r="AG9" s="11"/>
      <c r="AH9" s="11"/>
      <c r="AI9" s="11"/>
      <c r="AJ9" s="11"/>
      <c r="AK9" s="11"/>
      <c r="AL9" s="11"/>
      <c r="AM9" s="11"/>
      <c r="AN9" s="11"/>
      <c r="AO9" s="11"/>
      <c r="AP9" s="11"/>
      <c r="AQ9" s="11"/>
      <c r="AR9" s="11"/>
      <c r="AS9" s="11"/>
      <c r="AU9" s="12">
        <v>6</v>
      </c>
      <c r="AV9" s="45" t="s">
        <v>79</v>
      </c>
      <c r="AW9" s="44">
        <v>88</v>
      </c>
      <c r="AX9" s="108">
        <v>2</v>
      </c>
      <c r="AZ9" s="130">
        <v>6</v>
      </c>
      <c r="BA9" s="5">
        <v>8</v>
      </c>
      <c r="BB9" s="5">
        <v>2</v>
      </c>
      <c r="BD9" s="11">
        <v>6</v>
      </c>
      <c r="BE9" s="11">
        <v>3</v>
      </c>
      <c r="BF9" s="11">
        <v>5</v>
      </c>
      <c r="BG9" s="11">
        <v>1</v>
      </c>
      <c r="BH9" s="11">
        <v>5</v>
      </c>
    </row>
    <row r="10" spans="1:60" x14ac:dyDescent="0.25">
      <c r="A10" s="11">
        <v>7</v>
      </c>
      <c r="B10" s="11" t="s">
        <v>298</v>
      </c>
      <c r="C10" s="5">
        <v>1</v>
      </c>
      <c r="D10" s="5">
        <v>16</v>
      </c>
      <c r="F10" s="11"/>
      <c r="G10" s="5"/>
      <c r="H10" s="5"/>
      <c r="J10" s="5">
        <v>7</v>
      </c>
      <c r="K10" s="5">
        <v>7</v>
      </c>
      <c r="M10" s="11">
        <v>7</v>
      </c>
      <c r="N10" s="11">
        <v>0</v>
      </c>
      <c r="O10" s="11">
        <v>0</v>
      </c>
      <c r="P10" s="11">
        <v>0</v>
      </c>
      <c r="Q10" s="11">
        <v>0</v>
      </c>
      <c r="R10" s="11">
        <v>0</v>
      </c>
      <c r="S10" s="11">
        <v>0</v>
      </c>
      <c r="T10" s="11">
        <v>0</v>
      </c>
      <c r="U10" s="11">
        <v>0</v>
      </c>
      <c r="V10" s="11"/>
      <c r="W10" s="11"/>
      <c r="X10" s="11"/>
      <c r="Y10" s="11"/>
      <c r="Z10" s="11"/>
      <c r="AA10" s="11"/>
      <c r="AB10" s="11"/>
      <c r="AD10" s="11"/>
      <c r="AE10" s="11"/>
      <c r="AF10" s="11"/>
      <c r="AG10" s="11"/>
      <c r="AH10" s="11"/>
      <c r="AI10" s="11"/>
      <c r="AJ10" s="11"/>
      <c r="AK10" s="11"/>
      <c r="AL10" s="11"/>
      <c r="AM10" s="11"/>
      <c r="AN10" s="11"/>
      <c r="AO10" s="11"/>
      <c r="AP10" s="11"/>
      <c r="AQ10" s="11"/>
      <c r="AR10" s="11"/>
      <c r="AS10" s="11"/>
      <c r="AU10" s="12">
        <v>7</v>
      </c>
      <c r="AV10" s="43" t="s">
        <v>80</v>
      </c>
      <c r="AW10" s="47">
        <v>71</v>
      </c>
      <c r="AX10" s="108">
        <v>2</v>
      </c>
      <c r="AZ10" s="130">
        <v>7</v>
      </c>
      <c r="BA10" s="5">
        <v>1</v>
      </c>
      <c r="BB10" s="5">
        <v>2</v>
      </c>
      <c r="BD10" s="11">
        <v>7</v>
      </c>
      <c r="BE10" s="11">
        <v>4</v>
      </c>
      <c r="BF10" s="11">
        <v>1</v>
      </c>
      <c r="BG10" s="11">
        <v>1</v>
      </c>
      <c r="BH10" s="11">
        <v>7</v>
      </c>
    </row>
    <row r="11" spans="1:60" x14ac:dyDescent="0.25">
      <c r="A11" s="11">
        <v>8</v>
      </c>
      <c r="B11" s="11" t="s">
        <v>299</v>
      </c>
      <c r="C11" s="5">
        <v>1</v>
      </c>
      <c r="D11" s="5">
        <v>16</v>
      </c>
      <c r="F11" s="11"/>
      <c r="G11" s="5"/>
      <c r="H11" s="5"/>
      <c r="J11" s="5">
        <v>8</v>
      </c>
      <c r="K11" s="5"/>
      <c r="M11" s="11">
        <v>8</v>
      </c>
      <c r="N11" s="11">
        <v>0</v>
      </c>
      <c r="O11" s="11">
        <v>0</v>
      </c>
      <c r="P11" s="11">
        <v>0</v>
      </c>
      <c r="Q11" s="11">
        <v>0</v>
      </c>
      <c r="R11" s="11">
        <v>0</v>
      </c>
      <c r="S11" s="11">
        <v>0</v>
      </c>
      <c r="T11" s="11">
        <v>0</v>
      </c>
      <c r="U11" s="11">
        <v>0</v>
      </c>
      <c r="V11" s="11"/>
      <c r="W11" s="11"/>
      <c r="X11" s="11"/>
      <c r="Y11" s="11"/>
      <c r="Z11" s="11"/>
      <c r="AA11" s="11"/>
      <c r="AB11" s="11"/>
      <c r="AD11" s="11"/>
      <c r="AE11" s="11"/>
      <c r="AF11" s="11"/>
      <c r="AG11" s="11"/>
      <c r="AH11" s="11"/>
      <c r="AI11" s="11"/>
      <c r="AJ11" s="11"/>
      <c r="AK11" s="11"/>
      <c r="AL11" s="11"/>
      <c r="AM11" s="11"/>
      <c r="AN11" s="11"/>
      <c r="AO11" s="11"/>
      <c r="AP11" s="11"/>
      <c r="AQ11" s="11"/>
      <c r="AR11" s="11"/>
      <c r="AS11" s="11"/>
      <c r="AU11" s="12">
        <v>8</v>
      </c>
      <c r="AV11" s="43" t="s">
        <v>81</v>
      </c>
      <c r="AW11" s="44">
        <v>23</v>
      </c>
      <c r="AX11" s="108">
        <v>2</v>
      </c>
      <c r="AZ11" s="130">
        <v>8</v>
      </c>
      <c r="BA11" s="5">
        <v>3</v>
      </c>
      <c r="BB11" s="5">
        <v>3</v>
      </c>
      <c r="BD11" s="11">
        <v>8</v>
      </c>
      <c r="BE11" s="11">
        <v>4</v>
      </c>
      <c r="BF11" s="11">
        <v>5</v>
      </c>
      <c r="BG11" s="11">
        <v>1</v>
      </c>
      <c r="BH11" s="11">
        <v>7</v>
      </c>
    </row>
    <row r="12" spans="1:60" x14ac:dyDescent="0.25">
      <c r="A12" s="11">
        <v>9</v>
      </c>
      <c r="B12" s="11" t="s">
        <v>300</v>
      </c>
      <c r="C12" s="5">
        <v>1</v>
      </c>
      <c r="D12" s="5">
        <v>16</v>
      </c>
      <c r="F12" s="11"/>
      <c r="G12" s="5"/>
      <c r="H12" s="5"/>
      <c r="J12" s="5"/>
      <c r="K12" s="5"/>
      <c r="M12" s="11">
        <v>9</v>
      </c>
      <c r="N12" s="11">
        <v>0</v>
      </c>
      <c r="O12" s="11">
        <v>0</v>
      </c>
      <c r="P12" s="11">
        <v>0</v>
      </c>
      <c r="Q12" s="11">
        <v>0</v>
      </c>
      <c r="R12" s="11">
        <v>0</v>
      </c>
      <c r="S12" s="11">
        <v>0</v>
      </c>
      <c r="T12" s="11">
        <v>0</v>
      </c>
      <c r="U12" s="11">
        <v>0</v>
      </c>
      <c r="V12" s="11"/>
      <c r="W12" s="11"/>
      <c r="X12" s="11"/>
      <c r="Y12" s="11"/>
      <c r="Z12" s="11"/>
      <c r="AA12" s="11"/>
      <c r="AB12" s="11"/>
      <c r="AD12" s="11"/>
      <c r="AE12" s="11"/>
      <c r="AF12" s="11"/>
      <c r="AG12" s="11"/>
      <c r="AH12" s="11"/>
      <c r="AI12" s="11"/>
      <c r="AJ12" s="11"/>
      <c r="AK12" s="11"/>
      <c r="AL12" s="11"/>
      <c r="AM12" s="11"/>
      <c r="AN12" s="11"/>
      <c r="AO12" s="11"/>
      <c r="AP12" s="11"/>
      <c r="AQ12" s="11"/>
      <c r="AR12" s="11"/>
      <c r="AS12" s="11"/>
      <c r="AU12" s="12">
        <v>9</v>
      </c>
      <c r="AV12" s="45" t="s">
        <v>82</v>
      </c>
      <c r="AW12" s="44">
        <v>50</v>
      </c>
      <c r="AX12" s="108">
        <v>1</v>
      </c>
      <c r="AZ12" s="130">
        <v>9</v>
      </c>
      <c r="BA12" s="5">
        <v>5</v>
      </c>
      <c r="BB12" s="5">
        <v>3</v>
      </c>
      <c r="BD12" s="11">
        <v>9</v>
      </c>
      <c r="BE12" s="11">
        <v>5</v>
      </c>
      <c r="BF12" s="11">
        <v>2</v>
      </c>
      <c r="BG12" s="11">
        <v>6</v>
      </c>
      <c r="BH12" s="11">
        <v>2</v>
      </c>
    </row>
    <row r="13" spans="1:60" x14ac:dyDescent="0.25">
      <c r="A13" s="11">
        <v>10</v>
      </c>
      <c r="B13" s="11" t="s">
        <v>301</v>
      </c>
      <c r="C13" s="5">
        <v>1</v>
      </c>
      <c r="D13" s="5">
        <v>16</v>
      </c>
      <c r="F13" s="11"/>
      <c r="G13" s="11"/>
      <c r="H13" s="11"/>
      <c r="J13" s="5"/>
      <c r="K13" s="5"/>
      <c r="M13" s="11">
        <v>10</v>
      </c>
      <c r="N13" s="11">
        <v>0</v>
      </c>
      <c r="O13" s="11">
        <v>0</v>
      </c>
      <c r="P13" s="11">
        <v>0</v>
      </c>
      <c r="Q13" s="11">
        <v>0</v>
      </c>
      <c r="R13" s="11">
        <v>0</v>
      </c>
      <c r="S13" s="11">
        <v>0</v>
      </c>
      <c r="T13" s="11">
        <v>0</v>
      </c>
      <c r="U13" s="11">
        <v>0</v>
      </c>
      <c r="V13" s="11"/>
      <c r="W13" s="11"/>
      <c r="X13" s="11"/>
      <c r="Y13" s="11"/>
      <c r="Z13" s="11"/>
      <c r="AA13" s="11"/>
      <c r="AB13" s="11"/>
      <c r="AD13" s="11"/>
      <c r="AE13" s="11"/>
      <c r="AF13" s="11"/>
      <c r="AG13" s="11"/>
      <c r="AH13" s="11"/>
      <c r="AI13" s="11"/>
      <c r="AJ13" s="11"/>
      <c r="AK13" s="11"/>
      <c r="AL13" s="11"/>
      <c r="AM13" s="11"/>
      <c r="AN13" s="11"/>
      <c r="AO13" s="11"/>
      <c r="AP13" s="11"/>
      <c r="AQ13" s="11"/>
      <c r="AR13" s="11"/>
      <c r="AS13" s="11"/>
      <c r="AU13" s="12">
        <v>10</v>
      </c>
      <c r="AV13" s="43" t="s">
        <v>83</v>
      </c>
      <c r="AW13" s="44">
        <v>74</v>
      </c>
      <c r="AX13" s="108">
        <v>1</v>
      </c>
      <c r="AZ13" s="130">
        <v>10</v>
      </c>
      <c r="BA13" s="5">
        <v>6</v>
      </c>
      <c r="BB13" s="5">
        <v>6</v>
      </c>
      <c r="BD13" s="11">
        <v>10</v>
      </c>
      <c r="BE13" s="11">
        <v>5</v>
      </c>
      <c r="BF13" s="11">
        <v>5</v>
      </c>
      <c r="BG13" s="11">
        <v>6</v>
      </c>
      <c r="BH13" s="11">
        <v>2</v>
      </c>
    </row>
    <row r="14" spans="1:60" x14ac:dyDescent="0.25">
      <c r="A14" s="11">
        <v>11</v>
      </c>
      <c r="B14" s="11" t="s">
        <v>302</v>
      </c>
      <c r="C14" s="5">
        <v>1</v>
      </c>
      <c r="D14" s="5">
        <v>16</v>
      </c>
      <c r="F14" s="11"/>
      <c r="G14" s="11"/>
      <c r="H14" s="11"/>
      <c r="J14" s="5"/>
      <c r="K14" s="5"/>
      <c r="M14" s="11">
        <v>11</v>
      </c>
      <c r="N14" s="11">
        <v>0</v>
      </c>
      <c r="O14" s="11">
        <v>0</v>
      </c>
      <c r="P14" s="11">
        <v>0</v>
      </c>
      <c r="Q14" s="11">
        <v>0</v>
      </c>
      <c r="R14" s="11">
        <v>0</v>
      </c>
      <c r="S14" s="11">
        <v>0</v>
      </c>
      <c r="T14" s="11">
        <v>0</v>
      </c>
      <c r="U14" s="11">
        <v>0</v>
      </c>
      <c r="V14" s="11"/>
      <c r="W14" s="11"/>
      <c r="X14" s="11"/>
      <c r="Y14" s="11"/>
      <c r="Z14" s="11"/>
      <c r="AA14" s="11"/>
      <c r="AB14" s="11"/>
      <c r="AD14" s="11"/>
      <c r="AE14" s="11"/>
      <c r="AF14" s="11"/>
      <c r="AG14" s="11"/>
      <c r="AH14" s="11"/>
      <c r="AI14" s="11"/>
      <c r="AJ14" s="11"/>
      <c r="AK14" s="11"/>
      <c r="AL14" s="11"/>
      <c r="AM14" s="11"/>
      <c r="AN14" s="11"/>
      <c r="AO14" s="11"/>
      <c r="AP14" s="11"/>
      <c r="AQ14" s="11"/>
      <c r="AR14" s="11"/>
      <c r="AS14" s="11"/>
      <c r="AU14" s="12">
        <v>11</v>
      </c>
      <c r="AV14" s="45" t="s">
        <v>84</v>
      </c>
      <c r="AW14" s="44">
        <v>70</v>
      </c>
      <c r="AX14" s="108">
        <v>1</v>
      </c>
      <c r="AZ14" s="130">
        <v>11</v>
      </c>
      <c r="BA14" s="5">
        <v>5</v>
      </c>
      <c r="BB14" s="5">
        <v>6</v>
      </c>
      <c r="BD14" s="11">
        <v>11</v>
      </c>
      <c r="BE14" s="11">
        <v>6</v>
      </c>
      <c r="BF14" s="11">
        <v>1</v>
      </c>
      <c r="BG14" s="11">
        <v>8</v>
      </c>
      <c r="BH14" s="11">
        <v>2</v>
      </c>
    </row>
    <row r="15" spans="1:60" x14ac:dyDescent="0.25">
      <c r="A15" s="11">
        <v>12</v>
      </c>
      <c r="B15" s="11" t="s">
        <v>303</v>
      </c>
      <c r="C15" s="5">
        <v>1</v>
      </c>
      <c r="D15" s="5">
        <v>16</v>
      </c>
      <c r="F15" s="11"/>
      <c r="G15" s="11"/>
      <c r="H15" s="11"/>
      <c r="J15" s="5"/>
      <c r="K15" s="5"/>
      <c r="M15" s="11">
        <v>12</v>
      </c>
      <c r="N15" s="11">
        <v>0</v>
      </c>
      <c r="O15" s="11">
        <v>0</v>
      </c>
      <c r="P15" s="11">
        <v>0</v>
      </c>
      <c r="Q15" s="11">
        <v>0</v>
      </c>
      <c r="R15" s="11">
        <v>0</v>
      </c>
      <c r="S15" s="11">
        <v>0</v>
      </c>
      <c r="T15" s="11">
        <v>0</v>
      </c>
      <c r="U15" s="11">
        <v>0</v>
      </c>
      <c r="V15" s="11"/>
      <c r="W15" s="11"/>
      <c r="X15" s="11"/>
      <c r="Y15" s="11"/>
      <c r="Z15" s="11"/>
      <c r="AA15" s="11"/>
      <c r="AB15" s="11"/>
      <c r="AD15" s="11"/>
      <c r="AE15" s="11"/>
      <c r="AF15" s="11"/>
      <c r="AG15" s="11"/>
      <c r="AH15" s="11"/>
      <c r="AI15" s="11"/>
      <c r="AJ15" s="11"/>
      <c r="AK15" s="11"/>
      <c r="AL15" s="11"/>
      <c r="AM15" s="11"/>
      <c r="AN15" s="11"/>
      <c r="AO15" s="11"/>
      <c r="AP15" s="11"/>
      <c r="AQ15" s="11"/>
      <c r="AR15" s="11"/>
      <c r="AS15" s="11"/>
      <c r="AU15" s="12">
        <v>12</v>
      </c>
      <c r="AV15" s="43" t="s">
        <v>85</v>
      </c>
      <c r="AW15" s="44">
        <v>24</v>
      </c>
      <c r="AX15" s="108">
        <v>1</v>
      </c>
      <c r="AZ15" s="130">
        <v>12</v>
      </c>
      <c r="BA15" s="5">
        <v>3</v>
      </c>
      <c r="BB15" s="5">
        <v>7</v>
      </c>
      <c r="BD15" s="11">
        <v>12</v>
      </c>
      <c r="BE15" s="11">
        <v>6</v>
      </c>
      <c r="BF15" s="11">
        <v>5</v>
      </c>
      <c r="BG15" s="11">
        <v>8</v>
      </c>
      <c r="BH15" s="11">
        <v>2</v>
      </c>
    </row>
    <row r="16" spans="1:60" x14ac:dyDescent="0.25">
      <c r="A16" s="11">
        <v>13</v>
      </c>
      <c r="B16" s="11" t="s">
        <v>304</v>
      </c>
      <c r="C16" s="5">
        <v>2</v>
      </c>
      <c r="D16" s="5">
        <v>16</v>
      </c>
      <c r="F16" s="11"/>
      <c r="G16" s="11"/>
      <c r="H16" s="11"/>
      <c r="J16" s="5"/>
      <c r="K16" s="5"/>
      <c r="M16" s="11">
        <v>13</v>
      </c>
      <c r="N16" s="11">
        <v>0</v>
      </c>
      <c r="O16" s="11">
        <v>0</v>
      </c>
      <c r="P16" s="11">
        <v>0</v>
      </c>
      <c r="Q16" s="11">
        <v>0</v>
      </c>
      <c r="R16" s="11">
        <v>0</v>
      </c>
      <c r="S16" s="11">
        <v>0</v>
      </c>
      <c r="T16" s="11">
        <v>0</v>
      </c>
      <c r="U16" s="11">
        <v>0</v>
      </c>
      <c r="V16" s="11"/>
      <c r="W16" s="11"/>
      <c r="X16" s="11"/>
      <c r="Y16" s="11"/>
      <c r="Z16" s="11"/>
      <c r="AA16" s="11"/>
      <c r="AB16" s="11"/>
      <c r="AD16" s="11"/>
      <c r="AE16" s="11"/>
      <c r="AF16" s="11"/>
      <c r="AG16" s="11"/>
      <c r="AH16" s="11"/>
      <c r="AI16" s="11"/>
      <c r="AJ16" s="11"/>
      <c r="AK16" s="11"/>
      <c r="AL16" s="11"/>
      <c r="AM16" s="11"/>
      <c r="AN16" s="11"/>
      <c r="AO16" s="11"/>
      <c r="AP16" s="11"/>
      <c r="AQ16" s="11"/>
      <c r="AR16" s="11"/>
      <c r="AS16" s="11"/>
      <c r="AU16" s="12">
        <v>13</v>
      </c>
      <c r="AV16" s="45" t="s">
        <v>86</v>
      </c>
      <c r="AW16" s="44">
        <v>26</v>
      </c>
      <c r="AX16" s="108">
        <v>2</v>
      </c>
      <c r="AZ16" s="130">
        <v>13</v>
      </c>
      <c r="BA16" s="5">
        <v>2</v>
      </c>
      <c r="BB16" s="5">
        <v>7</v>
      </c>
      <c r="BD16" s="11">
        <v>13</v>
      </c>
      <c r="BE16" s="11">
        <v>7</v>
      </c>
      <c r="BF16" s="11">
        <v>12</v>
      </c>
      <c r="BG16" s="11">
        <v>1</v>
      </c>
      <c r="BH16" s="11">
        <v>2</v>
      </c>
    </row>
    <row r="17" spans="1:60" x14ac:dyDescent="0.25">
      <c r="A17" s="11">
        <v>14</v>
      </c>
      <c r="B17" s="11" t="s">
        <v>305</v>
      </c>
      <c r="C17" s="5">
        <v>2</v>
      </c>
      <c r="D17" s="5">
        <v>16</v>
      </c>
      <c r="F17" s="11"/>
      <c r="G17" s="11"/>
      <c r="H17" s="11"/>
      <c r="J17" s="5"/>
      <c r="K17" s="5"/>
      <c r="M17" s="11">
        <v>14</v>
      </c>
      <c r="N17" s="11">
        <v>0</v>
      </c>
      <c r="O17" s="11">
        <v>0</v>
      </c>
      <c r="P17" s="11">
        <v>0</v>
      </c>
      <c r="Q17" s="11">
        <v>0</v>
      </c>
      <c r="R17" s="11">
        <v>0</v>
      </c>
      <c r="S17" s="11">
        <v>0</v>
      </c>
      <c r="T17" s="11">
        <v>0</v>
      </c>
      <c r="U17" s="11">
        <v>0</v>
      </c>
      <c r="V17" s="11"/>
      <c r="W17" s="11"/>
      <c r="X17" s="11"/>
      <c r="Y17" s="11"/>
      <c r="Z17" s="11"/>
      <c r="AA17" s="11"/>
      <c r="AB17" s="11"/>
      <c r="AD17" s="11"/>
      <c r="AE17" s="11"/>
      <c r="AF17" s="11"/>
      <c r="AG17" s="11"/>
      <c r="AH17" s="11"/>
      <c r="AI17" s="11"/>
      <c r="AJ17" s="11"/>
      <c r="AK17" s="11"/>
      <c r="AL17" s="11"/>
      <c r="AM17" s="11"/>
      <c r="AN17" s="11"/>
      <c r="AO17" s="11"/>
      <c r="AP17" s="11"/>
      <c r="AQ17" s="11"/>
      <c r="AR17" s="11"/>
      <c r="AS17" s="11"/>
      <c r="AU17" s="12">
        <v>14</v>
      </c>
      <c r="AV17" s="43" t="s">
        <v>87</v>
      </c>
      <c r="AW17" s="44">
        <v>26</v>
      </c>
      <c r="AX17" s="108">
        <v>2</v>
      </c>
      <c r="AZ17" s="130">
        <v>14</v>
      </c>
      <c r="BA17" s="5">
        <v>8</v>
      </c>
      <c r="BB17" s="5">
        <v>3</v>
      </c>
      <c r="BD17" s="11">
        <v>14</v>
      </c>
      <c r="BE17" s="11">
        <v>7</v>
      </c>
      <c r="BF17" s="11">
        <v>14</v>
      </c>
      <c r="BG17" s="11">
        <v>1</v>
      </c>
      <c r="BH17" s="11">
        <v>2</v>
      </c>
    </row>
    <row r="18" spans="1:60" x14ac:dyDescent="0.25">
      <c r="A18" s="11">
        <v>15</v>
      </c>
      <c r="B18" s="11" t="s">
        <v>306</v>
      </c>
      <c r="C18" s="5">
        <v>2</v>
      </c>
      <c r="D18" s="5">
        <v>14</v>
      </c>
      <c r="F18" s="11"/>
      <c r="G18" s="11"/>
      <c r="H18" s="11"/>
      <c r="J18" s="5"/>
      <c r="K18" s="5"/>
      <c r="M18" s="11">
        <v>15</v>
      </c>
      <c r="N18" s="11">
        <v>0</v>
      </c>
      <c r="O18" s="11">
        <v>0</v>
      </c>
      <c r="P18" s="11">
        <v>0</v>
      </c>
      <c r="Q18" s="11">
        <v>0</v>
      </c>
      <c r="R18" s="11">
        <v>0</v>
      </c>
      <c r="S18" s="11">
        <v>0</v>
      </c>
      <c r="T18" s="11">
        <v>0</v>
      </c>
      <c r="U18" s="11">
        <v>0</v>
      </c>
      <c r="V18" s="11"/>
      <c r="W18" s="11"/>
      <c r="X18" s="11"/>
      <c r="Y18" s="11"/>
      <c r="Z18" s="11"/>
      <c r="AA18" s="11"/>
      <c r="AB18" s="11"/>
      <c r="AD18" s="11"/>
      <c r="AE18" s="11"/>
      <c r="AF18" s="11"/>
      <c r="AG18" s="11"/>
      <c r="AH18" s="11"/>
      <c r="AI18" s="11"/>
      <c r="AJ18" s="11"/>
      <c r="AK18" s="11"/>
      <c r="AL18" s="11"/>
      <c r="AM18" s="11"/>
      <c r="AN18" s="11"/>
      <c r="AO18" s="11"/>
      <c r="AP18" s="11"/>
      <c r="AQ18" s="11"/>
      <c r="AR18" s="11"/>
      <c r="AS18" s="11"/>
      <c r="AU18" s="12">
        <v>15</v>
      </c>
      <c r="AV18" s="45" t="s">
        <v>88</v>
      </c>
      <c r="AW18" s="44">
        <v>25</v>
      </c>
      <c r="AX18" s="108">
        <v>2</v>
      </c>
      <c r="AZ18" s="130">
        <v>15</v>
      </c>
      <c r="BA18" s="5">
        <v>3</v>
      </c>
      <c r="BB18" s="5">
        <v>5</v>
      </c>
      <c r="BD18" s="11">
        <v>15</v>
      </c>
      <c r="BE18" s="11">
        <v>7</v>
      </c>
      <c r="BF18" s="11">
        <v>15</v>
      </c>
      <c r="BG18" s="11">
        <v>1</v>
      </c>
      <c r="BH18" s="11">
        <v>2</v>
      </c>
    </row>
    <row r="19" spans="1:60" x14ac:dyDescent="0.25">
      <c r="A19" s="11">
        <v>16</v>
      </c>
      <c r="B19" s="11" t="s">
        <v>307</v>
      </c>
      <c r="C19" s="5">
        <v>2</v>
      </c>
      <c r="D19" s="5">
        <v>14</v>
      </c>
      <c r="F19" s="11"/>
      <c r="G19" s="11"/>
      <c r="H19" s="11"/>
      <c r="J19" s="5"/>
      <c r="K19" s="5"/>
      <c r="M19" s="11">
        <v>16</v>
      </c>
      <c r="N19" s="11">
        <v>0</v>
      </c>
      <c r="O19" s="11">
        <v>0</v>
      </c>
      <c r="P19" s="11">
        <v>0</v>
      </c>
      <c r="Q19" s="11">
        <v>0</v>
      </c>
      <c r="R19" s="11">
        <v>0</v>
      </c>
      <c r="S19" s="11">
        <v>0</v>
      </c>
      <c r="T19" s="11">
        <v>0</v>
      </c>
      <c r="U19" s="11">
        <v>0</v>
      </c>
      <c r="V19" s="11"/>
      <c r="W19" s="11"/>
      <c r="X19" s="11"/>
      <c r="Y19" s="11"/>
      <c r="Z19" s="11"/>
      <c r="AA19" s="11"/>
      <c r="AB19" s="11"/>
      <c r="AD19" s="11"/>
      <c r="AE19" s="11"/>
      <c r="AF19" s="11"/>
      <c r="AG19" s="11"/>
      <c r="AH19" s="11"/>
      <c r="AI19" s="11"/>
      <c r="AJ19" s="11"/>
      <c r="AK19" s="11"/>
      <c r="AL19" s="11"/>
      <c r="AM19" s="11"/>
      <c r="AN19" s="11"/>
      <c r="AO19" s="11"/>
      <c r="AP19" s="11"/>
      <c r="AQ19" s="11"/>
      <c r="AR19" s="11"/>
      <c r="AS19" s="11"/>
      <c r="AU19" s="12">
        <v>16</v>
      </c>
      <c r="AV19" s="43" t="s">
        <v>89</v>
      </c>
      <c r="AW19" s="44">
        <v>24</v>
      </c>
      <c r="AX19" s="108">
        <v>2</v>
      </c>
      <c r="AZ19" s="130">
        <v>16</v>
      </c>
      <c r="BA19" s="5">
        <v>2</v>
      </c>
      <c r="BB19" s="5">
        <v>3</v>
      </c>
      <c r="BD19" s="11">
        <v>16</v>
      </c>
      <c r="BE19" s="11">
        <v>8</v>
      </c>
      <c r="BF19" s="11">
        <v>11</v>
      </c>
      <c r="BG19" s="11">
        <v>3</v>
      </c>
      <c r="BH19" s="11">
        <v>3</v>
      </c>
    </row>
    <row r="20" spans="1:60" x14ac:dyDescent="0.25">
      <c r="A20" s="11">
        <v>17</v>
      </c>
      <c r="B20" s="11" t="s">
        <v>308</v>
      </c>
      <c r="C20" s="5">
        <v>2</v>
      </c>
      <c r="D20" s="5">
        <v>14</v>
      </c>
      <c r="F20" s="11"/>
      <c r="G20" s="11"/>
      <c r="H20" s="11"/>
      <c r="J20" s="5"/>
      <c r="K20" s="5"/>
      <c r="M20" s="11">
        <v>17</v>
      </c>
      <c r="N20" s="11">
        <v>0</v>
      </c>
      <c r="O20" s="11">
        <v>0</v>
      </c>
      <c r="P20" s="11">
        <v>0</v>
      </c>
      <c r="Q20" s="11">
        <v>0</v>
      </c>
      <c r="R20" s="11">
        <v>0</v>
      </c>
      <c r="S20" s="11">
        <v>0</v>
      </c>
      <c r="T20" s="11">
        <v>0</v>
      </c>
      <c r="U20" s="11">
        <v>0</v>
      </c>
      <c r="V20" s="11"/>
      <c r="W20" s="11"/>
      <c r="X20" s="11"/>
      <c r="Y20" s="11"/>
      <c r="Z20" s="11"/>
      <c r="AA20" s="11"/>
      <c r="AB20" s="11"/>
      <c r="AD20" s="11"/>
      <c r="AE20" s="11"/>
      <c r="AF20" s="11"/>
      <c r="AG20" s="11"/>
      <c r="AH20" s="11"/>
      <c r="AI20" s="11"/>
      <c r="AJ20" s="11"/>
      <c r="AK20" s="11"/>
      <c r="AL20" s="11"/>
      <c r="AM20" s="11"/>
      <c r="AN20" s="11"/>
      <c r="AO20" s="11"/>
      <c r="AP20" s="11"/>
      <c r="AQ20" s="11"/>
      <c r="AR20" s="11"/>
      <c r="AS20" s="11"/>
      <c r="AU20" s="12">
        <v>17</v>
      </c>
      <c r="AV20" s="45" t="s">
        <v>90</v>
      </c>
      <c r="AW20" s="44">
        <v>29</v>
      </c>
      <c r="AX20" s="108">
        <v>1</v>
      </c>
      <c r="AZ20" s="130">
        <v>17</v>
      </c>
      <c r="BA20" s="5">
        <v>5</v>
      </c>
      <c r="BB20" s="5">
        <v>7</v>
      </c>
      <c r="BD20" s="11">
        <v>17</v>
      </c>
      <c r="BE20" s="11">
        <v>9</v>
      </c>
      <c r="BF20" s="11">
        <v>2</v>
      </c>
      <c r="BG20" s="11">
        <v>5</v>
      </c>
      <c r="BH20" s="11">
        <v>3</v>
      </c>
    </row>
    <row r="21" spans="1:60" x14ac:dyDescent="0.25">
      <c r="A21" s="11">
        <v>18</v>
      </c>
      <c r="B21" s="11" t="s">
        <v>309</v>
      </c>
      <c r="C21" s="5">
        <v>2</v>
      </c>
      <c r="D21" s="5">
        <v>14</v>
      </c>
      <c r="F21" s="11"/>
      <c r="G21" s="11"/>
      <c r="H21" s="11"/>
      <c r="J21" s="5"/>
      <c r="K21" s="5"/>
      <c r="M21" s="11">
        <v>18</v>
      </c>
      <c r="N21" s="11">
        <v>0</v>
      </c>
      <c r="O21" s="11">
        <v>0</v>
      </c>
      <c r="P21" s="11">
        <v>0</v>
      </c>
      <c r="Q21" s="11">
        <v>0</v>
      </c>
      <c r="R21" s="11">
        <v>0</v>
      </c>
      <c r="S21" s="11">
        <v>0</v>
      </c>
      <c r="T21" s="11">
        <v>0</v>
      </c>
      <c r="U21" s="11">
        <v>0</v>
      </c>
      <c r="V21" s="11"/>
      <c r="W21" s="11"/>
      <c r="X21" s="11"/>
      <c r="Y21" s="11"/>
      <c r="Z21" s="11"/>
      <c r="AA21" s="11"/>
      <c r="AB21" s="11"/>
      <c r="AD21" s="11"/>
      <c r="AE21" s="11"/>
      <c r="AF21" s="11"/>
      <c r="AG21" s="11"/>
      <c r="AH21" s="11"/>
      <c r="AI21" s="11"/>
      <c r="AJ21" s="11"/>
      <c r="AK21" s="11"/>
      <c r="AL21" s="11"/>
      <c r="AM21" s="11"/>
      <c r="AN21" s="11"/>
      <c r="AO21" s="11"/>
      <c r="AP21" s="11"/>
      <c r="AQ21" s="11"/>
      <c r="AR21" s="11"/>
      <c r="AS21" s="11"/>
      <c r="AU21" s="12">
        <v>18</v>
      </c>
      <c r="AV21" s="45" t="s">
        <v>91</v>
      </c>
      <c r="AW21" s="44">
        <v>13</v>
      </c>
      <c r="AX21" s="108">
        <v>1</v>
      </c>
      <c r="AZ21" s="130">
        <v>18</v>
      </c>
      <c r="BA21" s="5">
        <v>6</v>
      </c>
      <c r="BB21" s="5">
        <v>7</v>
      </c>
      <c r="BD21" s="11">
        <v>18</v>
      </c>
      <c r="BE21" s="11">
        <v>10</v>
      </c>
      <c r="BF21" s="11">
        <v>3</v>
      </c>
      <c r="BG21" s="11">
        <v>6</v>
      </c>
      <c r="BH21" s="11">
        <v>6</v>
      </c>
    </row>
    <row r="22" spans="1:60" x14ac:dyDescent="0.25">
      <c r="A22" s="11">
        <v>19</v>
      </c>
      <c r="B22" s="11" t="s">
        <v>310</v>
      </c>
      <c r="C22" s="5">
        <v>2</v>
      </c>
      <c r="D22" s="5">
        <v>14</v>
      </c>
      <c r="F22" s="11"/>
      <c r="G22" s="11"/>
      <c r="H22" s="11"/>
      <c r="J22" s="5"/>
      <c r="K22" s="5"/>
      <c r="M22" s="11">
        <v>19</v>
      </c>
      <c r="N22" s="11">
        <v>0</v>
      </c>
      <c r="O22" s="11">
        <v>0</v>
      </c>
      <c r="P22" s="11">
        <v>0</v>
      </c>
      <c r="Q22" s="11">
        <v>0</v>
      </c>
      <c r="R22" s="11">
        <v>0</v>
      </c>
      <c r="S22" s="11">
        <v>0</v>
      </c>
      <c r="T22" s="11">
        <v>0</v>
      </c>
      <c r="U22" s="11">
        <v>0</v>
      </c>
      <c r="V22" s="11"/>
      <c r="W22" s="11"/>
      <c r="X22" s="11"/>
      <c r="Y22" s="11"/>
      <c r="Z22" s="11"/>
      <c r="AA22" s="11"/>
      <c r="AB22" s="11"/>
      <c r="AD22" s="11"/>
      <c r="AE22" s="11"/>
      <c r="AF22" s="11"/>
      <c r="AG22" s="11"/>
      <c r="AH22" s="11"/>
      <c r="AI22" s="11"/>
      <c r="AJ22" s="11"/>
      <c r="AK22" s="11"/>
      <c r="AL22" s="11"/>
      <c r="AM22" s="11"/>
      <c r="AN22" s="11"/>
      <c r="AO22" s="11"/>
      <c r="AP22" s="11"/>
      <c r="AQ22" s="11"/>
      <c r="AR22" s="11"/>
      <c r="AS22" s="11"/>
      <c r="AU22" s="12">
        <v>19</v>
      </c>
      <c r="AV22" s="43" t="s">
        <v>92</v>
      </c>
      <c r="AW22" s="44">
        <v>19</v>
      </c>
      <c r="AX22" s="108">
        <v>2</v>
      </c>
      <c r="AZ22" s="130">
        <v>19</v>
      </c>
      <c r="BA22" s="5">
        <v>7</v>
      </c>
      <c r="BB22" s="5">
        <v>1</v>
      </c>
      <c r="BD22" s="11">
        <v>19</v>
      </c>
      <c r="BE22" s="11">
        <v>10</v>
      </c>
      <c r="BF22" s="11">
        <v>4</v>
      </c>
      <c r="BG22" s="11">
        <v>6</v>
      </c>
      <c r="BH22" s="11">
        <v>6</v>
      </c>
    </row>
    <row r="23" spans="1:60" x14ac:dyDescent="0.25">
      <c r="A23" s="11">
        <v>20</v>
      </c>
      <c r="B23" s="11" t="s">
        <v>311</v>
      </c>
      <c r="C23" s="5">
        <v>2</v>
      </c>
      <c r="D23" s="5">
        <v>14</v>
      </c>
      <c r="F23" s="11"/>
      <c r="G23" s="11"/>
      <c r="H23" s="11"/>
      <c r="J23" s="5"/>
      <c r="K23" s="5"/>
      <c r="M23" s="11">
        <v>20</v>
      </c>
      <c r="N23" s="11">
        <v>0</v>
      </c>
      <c r="O23" s="11">
        <v>0</v>
      </c>
      <c r="P23" s="11">
        <v>0</v>
      </c>
      <c r="Q23" s="11">
        <v>0</v>
      </c>
      <c r="R23" s="11">
        <v>0</v>
      </c>
      <c r="S23" s="11">
        <v>0</v>
      </c>
      <c r="T23" s="11">
        <v>0</v>
      </c>
      <c r="U23" s="11">
        <v>0</v>
      </c>
      <c r="V23" s="11"/>
      <c r="W23" s="11"/>
      <c r="X23" s="11"/>
      <c r="Y23" s="11"/>
      <c r="Z23" s="11"/>
      <c r="AA23" s="11"/>
      <c r="AB23" s="11"/>
      <c r="AD23" s="11"/>
      <c r="AE23" s="11"/>
      <c r="AF23" s="11"/>
      <c r="AG23" s="11"/>
      <c r="AH23" s="11"/>
      <c r="AI23" s="11"/>
      <c r="AJ23" s="11"/>
      <c r="AK23" s="11"/>
      <c r="AL23" s="11"/>
      <c r="AM23" s="11"/>
      <c r="AN23" s="11"/>
      <c r="AO23" s="11"/>
      <c r="AP23" s="11"/>
      <c r="AQ23" s="11"/>
      <c r="AR23" s="11"/>
      <c r="AS23" s="11"/>
      <c r="AU23" s="12">
        <v>20</v>
      </c>
      <c r="AV23" s="43" t="s">
        <v>93</v>
      </c>
      <c r="AW23" s="44">
        <v>30</v>
      </c>
      <c r="AX23" s="108">
        <v>1</v>
      </c>
      <c r="AZ23" s="130">
        <v>20</v>
      </c>
      <c r="BA23" s="5">
        <v>8</v>
      </c>
      <c r="BB23" s="5">
        <v>6</v>
      </c>
      <c r="BD23" s="11">
        <v>20</v>
      </c>
      <c r="BE23" s="11">
        <v>11</v>
      </c>
      <c r="BF23" s="11">
        <v>1</v>
      </c>
      <c r="BG23" s="11">
        <v>5</v>
      </c>
      <c r="BH23" s="11">
        <v>6</v>
      </c>
    </row>
    <row r="24" spans="1:60" ht="28.5" x14ac:dyDescent="0.25">
      <c r="A24" s="11">
        <v>21</v>
      </c>
      <c r="B24" s="11" t="s">
        <v>312</v>
      </c>
      <c r="C24" s="5">
        <v>2</v>
      </c>
      <c r="D24" s="5">
        <v>14</v>
      </c>
      <c r="F24" s="11"/>
      <c r="G24" s="11"/>
      <c r="H24" s="11"/>
      <c r="M24" s="11">
        <v>21</v>
      </c>
      <c r="N24" s="11">
        <v>0</v>
      </c>
      <c r="O24" s="11">
        <v>0</v>
      </c>
      <c r="P24" s="11">
        <v>0</v>
      </c>
      <c r="Q24" s="11">
        <v>0</v>
      </c>
      <c r="R24" s="11">
        <v>0</v>
      </c>
      <c r="S24" s="11">
        <v>0</v>
      </c>
      <c r="T24" s="11">
        <v>0</v>
      </c>
      <c r="U24" s="11">
        <v>0</v>
      </c>
      <c r="V24" s="11"/>
      <c r="W24" s="11"/>
      <c r="X24" s="11"/>
      <c r="Y24" s="11"/>
      <c r="Z24" s="11"/>
      <c r="AA24" s="11"/>
      <c r="AB24" s="11"/>
      <c r="AD24" s="11"/>
      <c r="AE24" s="11"/>
      <c r="AF24" s="11"/>
      <c r="AG24" s="11"/>
      <c r="AH24" s="11"/>
      <c r="AI24" s="11"/>
      <c r="AJ24" s="11"/>
      <c r="AK24" s="11"/>
      <c r="AL24" s="11"/>
      <c r="AM24" s="11"/>
      <c r="AN24" s="11"/>
      <c r="AO24" s="11"/>
      <c r="AP24" s="11"/>
      <c r="AQ24" s="11"/>
      <c r="AR24" s="11"/>
      <c r="AS24" s="11"/>
      <c r="AU24" s="12">
        <v>21</v>
      </c>
      <c r="AV24" s="45" t="s">
        <v>94</v>
      </c>
      <c r="AW24" s="44">
        <v>12</v>
      </c>
      <c r="AX24" s="108">
        <v>2</v>
      </c>
      <c r="AZ24" s="130">
        <v>21</v>
      </c>
      <c r="BA24" s="5">
        <v>2</v>
      </c>
      <c r="BB24" s="5">
        <v>6</v>
      </c>
      <c r="BD24" s="11">
        <v>21</v>
      </c>
      <c r="BE24" s="11">
        <v>11</v>
      </c>
      <c r="BF24" s="11">
        <v>3</v>
      </c>
      <c r="BG24" s="11">
        <v>5</v>
      </c>
      <c r="BH24" s="11">
        <v>6</v>
      </c>
    </row>
    <row r="25" spans="1:60" x14ac:dyDescent="0.25">
      <c r="A25" s="11">
        <v>22</v>
      </c>
      <c r="B25" s="11" t="s">
        <v>313</v>
      </c>
      <c r="C25" s="5">
        <v>2</v>
      </c>
      <c r="D25" s="5">
        <v>14</v>
      </c>
      <c r="F25" s="11"/>
      <c r="G25" s="11"/>
      <c r="H25" s="11"/>
      <c r="J25" s="143" t="s">
        <v>325</v>
      </c>
      <c r="K25" s="143"/>
      <c r="M25" s="11">
        <v>22</v>
      </c>
      <c r="N25" s="11">
        <v>0</v>
      </c>
      <c r="O25" s="11">
        <v>0</v>
      </c>
      <c r="P25" s="11">
        <v>0</v>
      </c>
      <c r="Q25" s="11">
        <v>0</v>
      </c>
      <c r="R25" s="11">
        <v>0</v>
      </c>
      <c r="S25" s="11">
        <v>0</v>
      </c>
      <c r="T25" s="11">
        <v>0</v>
      </c>
      <c r="U25" s="11">
        <v>0</v>
      </c>
      <c r="V25" s="11"/>
      <c r="W25" s="11"/>
      <c r="X25" s="11"/>
      <c r="Y25" s="11"/>
      <c r="Z25" s="11"/>
      <c r="AA25" s="11"/>
      <c r="AB25" s="11"/>
      <c r="AD25" s="11"/>
      <c r="AE25" s="11"/>
      <c r="AF25" s="11"/>
      <c r="AG25" s="11"/>
      <c r="AH25" s="11"/>
      <c r="AI25" s="11"/>
      <c r="AJ25" s="11"/>
      <c r="AK25" s="11"/>
      <c r="AL25" s="11"/>
      <c r="AM25" s="11"/>
      <c r="AN25" s="11"/>
      <c r="AO25" s="11"/>
      <c r="AP25" s="11"/>
      <c r="AQ25" s="11"/>
      <c r="AR25" s="11"/>
      <c r="AS25" s="11"/>
      <c r="AU25" s="12">
        <v>22</v>
      </c>
      <c r="AV25" s="48" t="s">
        <v>95</v>
      </c>
      <c r="AW25" s="44">
        <v>19</v>
      </c>
      <c r="AX25" s="108">
        <v>2</v>
      </c>
      <c r="AZ25" s="130">
        <v>22</v>
      </c>
      <c r="BA25" s="5">
        <v>3</v>
      </c>
      <c r="BB25" s="5">
        <v>4</v>
      </c>
      <c r="BD25" s="11">
        <v>22</v>
      </c>
      <c r="BE25" s="11">
        <v>12</v>
      </c>
      <c r="BF25" s="11">
        <v>11</v>
      </c>
      <c r="BG25" s="11">
        <v>3</v>
      </c>
      <c r="BH25" s="11">
        <v>7</v>
      </c>
    </row>
    <row r="26" spans="1:60" x14ac:dyDescent="0.25">
      <c r="A26" s="11">
        <v>23</v>
      </c>
      <c r="B26" s="11" t="s">
        <v>314</v>
      </c>
      <c r="C26" s="5">
        <v>2</v>
      </c>
      <c r="D26" s="5">
        <v>14</v>
      </c>
      <c r="F26" s="11"/>
      <c r="G26" s="11"/>
      <c r="H26" s="11"/>
      <c r="J26" s="106"/>
      <c r="K26" s="107">
        <v>1</v>
      </c>
      <c r="M26" s="11">
        <v>23</v>
      </c>
      <c r="N26" s="11">
        <v>0</v>
      </c>
      <c r="O26" s="11">
        <v>0</v>
      </c>
      <c r="P26" s="11">
        <v>0</v>
      </c>
      <c r="Q26" s="11">
        <v>0</v>
      </c>
      <c r="R26" s="11">
        <v>0</v>
      </c>
      <c r="S26" s="11">
        <v>0</v>
      </c>
      <c r="T26" s="11">
        <v>0</v>
      </c>
      <c r="U26" s="11">
        <v>0</v>
      </c>
      <c r="V26" s="11"/>
      <c r="W26" s="11"/>
      <c r="X26" s="11"/>
      <c r="Y26" s="11"/>
      <c r="Z26" s="11"/>
      <c r="AA26" s="11"/>
      <c r="AB26" s="11"/>
      <c r="AD26" s="11"/>
      <c r="AE26" s="11"/>
      <c r="AF26" s="11"/>
      <c r="AG26" s="11"/>
      <c r="AH26" s="11"/>
      <c r="AI26" s="11"/>
      <c r="AJ26" s="11"/>
      <c r="AK26" s="11"/>
      <c r="AL26" s="11"/>
      <c r="AM26" s="11"/>
      <c r="AN26" s="11"/>
      <c r="AO26" s="11"/>
      <c r="AP26" s="11"/>
      <c r="AQ26" s="11"/>
      <c r="AR26" s="11"/>
      <c r="AS26" s="11"/>
      <c r="AU26" s="12">
        <v>23</v>
      </c>
      <c r="AV26" s="49" t="s">
        <v>96</v>
      </c>
      <c r="AW26" s="50">
        <v>76</v>
      </c>
      <c r="AX26" s="108">
        <v>2</v>
      </c>
      <c r="AZ26" s="130">
        <v>23</v>
      </c>
      <c r="BA26" s="5">
        <v>5</v>
      </c>
      <c r="BB26" s="5">
        <v>1</v>
      </c>
      <c r="BD26" s="11">
        <v>23</v>
      </c>
      <c r="BE26" s="11">
        <v>13</v>
      </c>
      <c r="BF26" s="11">
        <v>3</v>
      </c>
      <c r="BG26" s="11">
        <v>2</v>
      </c>
      <c r="BH26" s="11">
        <v>7</v>
      </c>
    </row>
    <row r="27" spans="1:60" x14ac:dyDescent="0.25">
      <c r="A27" s="11">
        <v>24</v>
      </c>
      <c r="B27" s="11" t="s">
        <v>315</v>
      </c>
      <c r="C27" s="5">
        <v>2</v>
      </c>
      <c r="D27" s="5">
        <v>14</v>
      </c>
      <c r="F27" s="11"/>
      <c r="G27" s="11"/>
      <c r="H27" s="11"/>
      <c r="J27" s="11">
        <v>1</v>
      </c>
      <c r="K27" s="105" t="s">
        <v>17</v>
      </c>
      <c r="M27" s="11">
        <v>24</v>
      </c>
      <c r="N27" s="11">
        <v>0</v>
      </c>
      <c r="O27" s="11">
        <v>0</v>
      </c>
      <c r="P27" s="11">
        <v>0</v>
      </c>
      <c r="Q27" s="11">
        <v>0</v>
      </c>
      <c r="R27" s="11">
        <v>0</v>
      </c>
      <c r="S27" s="11">
        <v>0</v>
      </c>
      <c r="T27" s="11">
        <v>0</v>
      </c>
      <c r="U27" s="11">
        <v>0</v>
      </c>
      <c r="V27" s="11"/>
      <c r="W27" s="11"/>
      <c r="X27" s="11"/>
      <c r="Y27" s="11"/>
      <c r="Z27" s="11"/>
      <c r="AA27" s="11"/>
      <c r="AB27" s="11"/>
      <c r="AD27" s="11"/>
      <c r="AE27" s="11"/>
      <c r="AF27" s="11"/>
      <c r="AG27" s="11"/>
      <c r="AH27" s="11"/>
      <c r="AI27" s="11"/>
      <c r="AJ27" s="11"/>
      <c r="AK27" s="11"/>
      <c r="AL27" s="11"/>
      <c r="AM27" s="11"/>
      <c r="AN27" s="11"/>
      <c r="AO27" s="11"/>
      <c r="AP27" s="11"/>
      <c r="AQ27" s="11"/>
      <c r="AR27" s="11"/>
      <c r="AS27" s="11"/>
      <c r="AU27" s="12">
        <v>24</v>
      </c>
      <c r="AV27" s="51" t="s">
        <v>97</v>
      </c>
      <c r="AW27" s="50">
        <v>70</v>
      </c>
      <c r="AX27" s="108">
        <v>2</v>
      </c>
      <c r="AZ27" s="130">
        <v>24</v>
      </c>
      <c r="BA27" s="5">
        <v>5</v>
      </c>
      <c r="BB27" s="5">
        <v>1</v>
      </c>
      <c r="BD27" s="11">
        <v>24</v>
      </c>
      <c r="BE27" s="11">
        <v>14</v>
      </c>
      <c r="BF27" s="11">
        <v>2</v>
      </c>
      <c r="BG27" s="11">
        <v>8</v>
      </c>
      <c r="BH27" s="11">
        <v>3</v>
      </c>
    </row>
    <row r="28" spans="1:60" x14ac:dyDescent="0.25">
      <c r="A28" s="11">
        <v>25</v>
      </c>
      <c r="B28" s="11" t="s">
        <v>316</v>
      </c>
      <c r="C28" s="5">
        <v>2</v>
      </c>
      <c r="D28" s="5">
        <v>14</v>
      </c>
      <c r="F28" s="11"/>
      <c r="G28" s="11"/>
      <c r="H28" s="11"/>
      <c r="J28" s="11">
        <v>2</v>
      </c>
      <c r="K28" s="105" t="s">
        <v>18</v>
      </c>
      <c r="M28" s="11">
        <v>25</v>
      </c>
      <c r="N28" s="11">
        <v>0</v>
      </c>
      <c r="O28" s="11">
        <v>0</v>
      </c>
      <c r="P28" s="11">
        <v>0</v>
      </c>
      <c r="Q28" s="11">
        <v>0</v>
      </c>
      <c r="R28" s="11">
        <v>0</v>
      </c>
      <c r="S28" s="11">
        <v>0</v>
      </c>
      <c r="T28" s="11">
        <v>0</v>
      </c>
      <c r="U28" s="11">
        <v>0</v>
      </c>
      <c r="V28" s="11"/>
      <c r="W28" s="11"/>
      <c r="X28" s="11"/>
      <c r="Y28" s="11"/>
      <c r="Z28" s="11"/>
      <c r="AA28" s="11"/>
      <c r="AB28" s="11"/>
      <c r="AD28" s="11"/>
      <c r="AE28" s="11"/>
      <c r="AF28" s="11"/>
      <c r="AG28" s="11"/>
      <c r="AH28" s="11"/>
      <c r="AI28" s="11"/>
      <c r="AJ28" s="11"/>
      <c r="AK28" s="11"/>
      <c r="AL28" s="11"/>
      <c r="AM28" s="11"/>
      <c r="AN28" s="11"/>
      <c r="AO28" s="11"/>
      <c r="AP28" s="11"/>
      <c r="AQ28" s="11"/>
      <c r="AR28" s="11"/>
      <c r="AS28" s="11"/>
      <c r="AU28" s="12">
        <v>25</v>
      </c>
      <c r="AV28" s="49" t="s">
        <v>98</v>
      </c>
      <c r="AW28" s="50">
        <v>91</v>
      </c>
      <c r="AX28" s="108">
        <v>2</v>
      </c>
      <c r="AZ28" s="130">
        <v>25</v>
      </c>
      <c r="BA28" s="5">
        <v>7</v>
      </c>
      <c r="BB28" s="5">
        <v>4</v>
      </c>
      <c r="BD28" s="11">
        <v>25</v>
      </c>
      <c r="BE28" s="11">
        <v>15</v>
      </c>
      <c r="BF28" s="11">
        <v>5</v>
      </c>
      <c r="BG28" s="11">
        <v>3</v>
      </c>
      <c r="BH28" s="11">
        <v>5</v>
      </c>
    </row>
    <row r="29" spans="1:60" x14ac:dyDescent="0.25">
      <c r="A29" s="11">
        <v>26</v>
      </c>
      <c r="B29" s="11" t="s">
        <v>317</v>
      </c>
      <c r="C29" s="5">
        <v>1</v>
      </c>
      <c r="D29" s="5">
        <v>0</v>
      </c>
      <c r="F29" s="11"/>
      <c r="G29" s="11"/>
      <c r="H29" s="11"/>
      <c r="J29" s="11">
        <v>3</v>
      </c>
      <c r="K29" s="105" t="s">
        <v>19</v>
      </c>
      <c r="M29" s="11">
        <v>26</v>
      </c>
      <c r="N29" s="11">
        <v>0</v>
      </c>
      <c r="O29" s="11">
        <v>0</v>
      </c>
      <c r="P29" s="11">
        <v>0</v>
      </c>
      <c r="Q29" s="11">
        <v>0</v>
      </c>
      <c r="R29" s="11">
        <v>0</v>
      </c>
      <c r="S29" s="11">
        <v>0</v>
      </c>
      <c r="T29" s="11">
        <v>0</v>
      </c>
      <c r="U29" s="11">
        <v>0</v>
      </c>
      <c r="V29" s="11"/>
      <c r="W29" s="11"/>
      <c r="X29" s="11"/>
      <c r="Y29" s="11"/>
      <c r="Z29" s="11"/>
      <c r="AA29" s="11"/>
      <c r="AB29" s="11"/>
      <c r="AD29" s="11"/>
      <c r="AE29" s="11"/>
      <c r="AF29" s="11"/>
      <c r="AG29" s="11"/>
      <c r="AH29" s="11"/>
      <c r="AI29" s="11"/>
      <c r="AJ29" s="11"/>
      <c r="AK29" s="11"/>
      <c r="AL29" s="11"/>
      <c r="AM29" s="11"/>
      <c r="AN29" s="11"/>
      <c r="AO29" s="11"/>
      <c r="AP29" s="11"/>
      <c r="AQ29" s="11"/>
      <c r="AR29" s="11"/>
      <c r="AS29" s="11"/>
      <c r="AU29" s="12">
        <v>26</v>
      </c>
      <c r="AV29" s="51" t="s">
        <v>99</v>
      </c>
      <c r="AW29" s="50">
        <v>75</v>
      </c>
      <c r="AX29" s="108">
        <v>2</v>
      </c>
      <c r="AZ29" s="130">
        <v>26</v>
      </c>
      <c r="BA29" s="5">
        <v>4</v>
      </c>
      <c r="BB29" s="5">
        <v>1</v>
      </c>
      <c r="BD29" s="11">
        <v>26</v>
      </c>
      <c r="BE29" s="11">
        <v>16</v>
      </c>
      <c r="BF29" s="11">
        <v>5</v>
      </c>
      <c r="BG29" s="11">
        <v>2</v>
      </c>
      <c r="BH29" s="11">
        <v>3</v>
      </c>
    </row>
    <row r="30" spans="1:60" x14ac:dyDescent="0.25">
      <c r="A30" s="11">
        <v>27</v>
      </c>
      <c r="B30" s="11" t="s">
        <v>318</v>
      </c>
      <c r="C30" s="5">
        <v>1</v>
      </c>
      <c r="D30" s="5">
        <v>0</v>
      </c>
      <c r="F30" s="11"/>
      <c r="G30" s="11"/>
      <c r="H30" s="11"/>
      <c r="J30" s="11">
        <v>4</v>
      </c>
      <c r="K30" s="105" t="s">
        <v>20</v>
      </c>
      <c r="M30" s="11">
        <v>27</v>
      </c>
      <c r="N30" s="11">
        <v>0</v>
      </c>
      <c r="O30" s="11">
        <v>0</v>
      </c>
      <c r="P30" s="11">
        <v>0</v>
      </c>
      <c r="Q30" s="11">
        <v>0</v>
      </c>
      <c r="R30" s="11">
        <v>0</v>
      </c>
      <c r="S30" s="11">
        <v>0</v>
      </c>
      <c r="T30" s="11">
        <v>0</v>
      </c>
      <c r="U30" s="11">
        <v>0</v>
      </c>
      <c r="V30" s="11"/>
      <c r="W30" s="11"/>
      <c r="X30" s="11"/>
      <c r="Y30" s="11"/>
      <c r="Z30" s="11"/>
      <c r="AA30" s="11"/>
      <c r="AB30" s="11"/>
      <c r="AD30" s="11"/>
      <c r="AE30" s="11"/>
      <c r="AF30" s="11"/>
      <c r="AG30" s="11"/>
      <c r="AH30" s="11"/>
      <c r="AI30" s="11"/>
      <c r="AJ30" s="11"/>
      <c r="AK30" s="11"/>
      <c r="AL30" s="11"/>
      <c r="AM30" s="11"/>
      <c r="AN30" s="11"/>
      <c r="AO30" s="11"/>
      <c r="AP30" s="11"/>
      <c r="AQ30" s="11"/>
      <c r="AR30" s="11"/>
      <c r="AS30" s="11"/>
      <c r="AU30" s="12">
        <v>27</v>
      </c>
      <c r="AV30" s="49" t="s">
        <v>100</v>
      </c>
      <c r="AW30" s="50">
        <v>69</v>
      </c>
      <c r="AX30" s="108">
        <v>1</v>
      </c>
      <c r="AZ30" s="130">
        <v>27</v>
      </c>
      <c r="BA30" s="5">
        <v>3</v>
      </c>
      <c r="BB30" s="5">
        <v>4</v>
      </c>
      <c r="BD30" s="11">
        <v>27</v>
      </c>
      <c r="BE30" s="11">
        <v>17</v>
      </c>
      <c r="BF30" s="11">
        <v>11</v>
      </c>
      <c r="BG30" s="11">
        <v>5</v>
      </c>
      <c r="BH30" s="11">
        <v>7</v>
      </c>
    </row>
    <row r="31" spans="1:60" x14ac:dyDescent="0.25">
      <c r="A31" s="11"/>
      <c r="B31" s="11"/>
      <c r="C31" s="11"/>
      <c r="D31" s="11"/>
      <c r="F31" s="11"/>
      <c r="G31" s="11"/>
      <c r="H31" s="11"/>
      <c r="J31" s="11">
        <v>5</v>
      </c>
      <c r="K31" s="105" t="s">
        <v>21</v>
      </c>
      <c r="M31" s="11"/>
      <c r="N31" s="11"/>
      <c r="O31" s="11"/>
      <c r="P31" s="11"/>
      <c r="Q31" s="11"/>
      <c r="R31" s="11"/>
      <c r="S31" s="11"/>
      <c r="T31" s="11"/>
      <c r="U31" s="11"/>
      <c r="V31" s="11"/>
      <c r="W31" s="11"/>
      <c r="X31" s="11"/>
      <c r="Y31" s="11"/>
      <c r="Z31" s="11"/>
      <c r="AA31" s="11"/>
      <c r="AB31" s="11"/>
      <c r="AD31" s="11"/>
      <c r="AE31" s="11"/>
      <c r="AF31" s="11"/>
      <c r="AG31" s="11"/>
      <c r="AH31" s="11"/>
      <c r="AI31" s="11"/>
      <c r="AJ31" s="11"/>
      <c r="AK31" s="11"/>
      <c r="AL31" s="11"/>
      <c r="AM31" s="11"/>
      <c r="AN31" s="11"/>
      <c r="AO31" s="11"/>
      <c r="AP31" s="11"/>
      <c r="AQ31" s="11"/>
      <c r="AR31" s="11"/>
      <c r="AS31" s="11"/>
      <c r="AU31" s="12">
        <v>28</v>
      </c>
      <c r="AV31" s="51" t="s">
        <v>101</v>
      </c>
      <c r="AW31" s="50">
        <v>67</v>
      </c>
      <c r="AX31" s="108">
        <v>2</v>
      </c>
      <c r="AZ31" s="130">
        <v>28</v>
      </c>
      <c r="BA31" s="5">
        <v>1</v>
      </c>
      <c r="BB31" s="5">
        <v>7</v>
      </c>
      <c r="BD31" s="11">
        <v>28</v>
      </c>
      <c r="BE31" s="11">
        <v>18</v>
      </c>
      <c r="BF31" s="11">
        <v>2</v>
      </c>
      <c r="BG31" s="11">
        <v>6</v>
      </c>
      <c r="BH31" s="11">
        <v>7</v>
      </c>
    </row>
    <row r="32" spans="1:60" x14ac:dyDescent="0.25">
      <c r="A32" s="11"/>
      <c r="B32" s="11"/>
      <c r="C32" s="11"/>
      <c r="D32" s="11"/>
      <c r="F32" s="11"/>
      <c r="G32" s="11"/>
      <c r="H32" s="11"/>
      <c r="J32" s="11">
        <v>6</v>
      </c>
      <c r="K32" s="105" t="s">
        <v>326</v>
      </c>
      <c r="M32" s="11"/>
      <c r="N32" s="11"/>
      <c r="O32" s="11"/>
      <c r="P32" s="11"/>
      <c r="Q32" s="11"/>
      <c r="R32" s="11"/>
      <c r="S32" s="11"/>
      <c r="T32" s="11"/>
      <c r="U32" s="11"/>
      <c r="V32" s="11"/>
      <c r="W32" s="11"/>
      <c r="X32" s="11"/>
      <c r="Y32" s="11"/>
      <c r="Z32" s="11"/>
      <c r="AA32" s="11"/>
      <c r="AB32" s="11"/>
      <c r="AD32" s="11"/>
      <c r="AE32" s="11"/>
      <c r="AF32" s="11"/>
      <c r="AG32" s="11"/>
      <c r="AH32" s="11"/>
      <c r="AI32" s="11"/>
      <c r="AJ32" s="11"/>
      <c r="AK32" s="11"/>
      <c r="AL32" s="11"/>
      <c r="AM32" s="11"/>
      <c r="AN32" s="11"/>
      <c r="AO32" s="11"/>
      <c r="AP32" s="11"/>
      <c r="AQ32" s="11"/>
      <c r="AR32" s="11"/>
      <c r="AS32" s="11"/>
      <c r="AU32" s="12">
        <v>29</v>
      </c>
      <c r="AV32" s="49" t="s">
        <v>102</v>
      </c>
      <c r="AW32" s="50">
        <v>39</v>
      </c>
      <c r="AX32" s="108">
        <v>2</v>
      </c>
      <c r="AZ32" s="130">
        <v>29</v>
      </c>
      <c r="BA32" s="5">
        <v>7</v>
      </c>
      <c r="BB32" s="5">
        <v>5</v>
      </c>
      <c r="BD32" s="11">
        <v>29</v>
      </c>
      <c r="BE32" s="11">
        <v>19</v>
      </c>
      <c r="BF32" s="11">
        <v>1</v>
      </c>
      <c r="BG32" s="11">
        <v>7</v>
      </c>
      <c r="BH32" s="11">
        <v>1</v>
      </c>
    </row>
    <row r="33" spans="1:60" x14ac:dyDescent="0.25">
      <c r="A33" s="11"/>
      <c r="B33" s="11"/>
      <c r="C33" s="11"/>
      <c r="D33" s="11"/>
      <c r="F33" s="11"/>
      <c r="G33" s="11"/>
      <c r="H33" s="11"/>
      <c r="J33" s="11">
        <v>7</v>
      </c>
      <c r="K33" s="105" t="s">
        <v>327</v>
      </c>
      <c r="M33" s="11"/>
      <c r="N33" s="11"/>
      <c r="O33" s="11"/>
      <c r="P33" s="11"/>
      <c r="Q33" s="11"/>
      <c r="R33" s="11"/>
      <c r="S33" s="11"/>
      <c r="T33" s="11"/>
      <c r="U33" s="11"/>
      <c r="V33" s="11"/>
      <c r="W33" s="11"/>
      <c r="X33" s="11"/>
      <c r="Y33" s="11"/>
      <c r="Z33" s="11"/>
      <c r="AA33" s="11"/>
      <c r="AB33" s="11"/>
      <c r="AD33" s="11"/>
      <c r="AE33" s="11"/>
      <c r="AF33" s="11"/>
      <c r="AG33" s="11"/>
      <c r="AH33" s="11"/>
      <c r="AI33" s="11"/>
      <c r="AJ33" s="11"/>
      <c r="AK33" s="11"/>
      <c r="AL33" s="11"/>
      <c r="AM33" s="11"/>
      <c r="AN33" s="11"/>
      <c r="AO33" s="11"/>
      <c r="AP33" s="11"/>
      <c r="AQ33" s="11"/>
      <c r="AR33" s="11"/>
      <c r="AS33" s="11"/>
      <c r="AU33" s="12">
        <v>30</v>
      </c>
      <c r="AV33" s="51" t="s">
        <v>103</v>
      </c>
      <c r="AW33" s="50">
        <v>32</v>
      </c>
      <c r="AX33" s="108">
        <v>2</v>
      </c>
      <c r="AZ33" s="130">
        <v>30</v>
      </c>
      <c r="BA33" s="5">
        <v>3</v>
      </c>
      <c r="BB33" s="5">
        <v>3</v>
      </c>
      <c r="BD33" s="11">
        <v>30</v>
      </c>
      <c r="BE33" s="11">
        <v>20</v>
      </c>
      <c r="BF33" s="11">
        <v>3</v>
      </c>
      <c r="BG33" s="11">
        <v>8</v>
      </c>
      <c r="BH33" s="11">
        <v>6</v>
      </c>
    </row>
    <row r="34" spans="1:60" x14ac:dyDescent="0.25">
      <c r="A34" s="11"/>
      <c r="B34" s="11"/>
      <c r="C34" s="11"/>
      <c r="D34" s="11"/>
      <c r="F34" s="11"/>
      <c r="G34" s="11"/>
      <c r="H34" s="11"/>
      <c r="J34" s="11">
        <v>8</v>
      </c>
      <c r="K34" s="105" t="s">
        <v>328</v>
      </c>
      <c r="M34" s="11"/>
      <c r="N34" s="11"/>
      <c r="O34" s="11"/>
      <c r="P34" s="11"/>
      <c r="Q34" s="11"/>
      <c r="R34" s="11"/>
      <c r="S34" s="11"/>
      <c r="T34" s="11"/>
      <c r="U34" s="11"/>
      <c r="V34" s="11"/>
      <c r="W34" s="11"/>
      <c r="X34" s="11"/>
      <c r="Y34" s="11"/>
      <c r="Z34" s="11"/>
      <c r="AA34" s="11"/>
      <c r="AB34" s="11"/>
      <c r="AD34" s="11"/>
      <c r="AE34" s="11"/>
      <c r="AF34" s="11"/>
      <c r="AG34" s="11"/>
      <c r="AH34" s="11"/>
      <c r="AI34" s="11"/>
      <c r="AJ34" s="11"/>
      <c r="AK34" s="11"/>
      <c r="AL34" s="11"/>
      <c r="AM34" s="11"/>
      <c r="AN34" s="11"/>
      <c r="AO34" s="11"/>
      <c r="AP34" s="11"/>
      <c r="AQ34" s="11"/>
      <c r="AR34" s="11"/>
      <c r="AS34" s="11"/>
      <c r="AU34" s="12">
        <v>31</v>
      </c>
      <c r="AV34" s="49" t="s">
        <v>104</v>
      </c>
      <c r="AW34" s="50">
        <v>68</v>
      </c>
      <c r="AX34" s="108">
        <v>1</v>
      </c>
      <c r="AZ34" s="130">
        <v>31</v>
      </c>
      <c r="BA34" s="5">
        <v>5</v>
      </c>
      <c r="BB34" s="5">
        <v>5</v>
      </c>
      <c r="BD34" s="11">
        <v>31</v>
      </c>
      <c r="BE34" s="11">
        <v>21</v>
      </c>
      <c r="BF34" s="11">
        <v>5</v>
      </c>
      <c r="BG34" s="11">
        <v>2</v>
      </c>
      <c r="BH34" s="11">
        <v>6</v>
      </c>
    </row>
    <row r="35" spans="1:60" x14ac:dyDescent="0.25">
      <c r="A35" s="11"/>
      <c r="B35" s="11"/>
      <c r="C35" s="11"/>
      <c r="D35" s="11"/>
      <c r="F35" s="11"/>
      <c r="G35" s="11"/>
      <c r="H35" s="11"/>
      <c r="J35" s="11">
        <v>9</v>
      </c>
      <c r="K35" s="105" t="s">
        <v>329</v>
      </c>
      <c r="M35" s="11"/>
      <c r="N35" s="11"/>
      <c r="O35" s="11"/>
      <c r="P35" s="11"/>
      <c r="Q35" s="11"/>
      <c r="R35" s="11"/>
      <c r="S35" s="11"/>
      <c r="T35" s="11"/>
      <c r="U35" s="11"/>
      <c r="V35" s="11"/>
      <c r="W35" s="11"/>
      <c r="X35" s="11"/>
      <c r="Y35" s="11"/>
      <c r="Z35" s="11"/>
      <c r="AA35" s="11"/>
      <c r="AB35" s="11"/>
      <c r="AD35" s="11"/>
      <c r="AE35" s="11"/>
      <c r="AF35" s="11"/>
      <c r="AG35" s="11"/>
      <c r="AH35" s="11"/>
      <c r="AI35" s="11"/>
      <c r="AJ35" s="11"/>
      <c r="AK35" s="11"/>
      <c r="AL35" s="11"/>
      <c r="AM35" s="11"/>
      <c r="AN35" s="11"/>
      <c r="AO35" s="11"/>
      <c r="AP35" s="11"/>
      <c r="AQ35" s="11"/>
      <c r="AR35" s="11"/>
      <c r="AS35" s="11"/>
      <c r="AU35" s="12">
        <v>32</v>
      </c>
      <c r="AV35" s="49" t="s">
        <v>105</v>
      </c>
      <c r="AW35" s="50">
        <v>74</v>
      </c>
      <c r="AX35" s="108">
        <v>1</v>
      </c>
      <c r="AZ35" s="130">
        <v>32</v>
      </c>
      <c r="BA35" s="5">
        <v>6</v>
      </c>
      <c r="BB35" s="5">
        <v>6</v>
      </c>
      <c r="BD35" s="11">
        <v>32</v>
      </c>
      <c r="BE35" s="11">
        <v>22</v>
      </c>
      <c r="BF35" s="11">
        <v>2</v>
      </c>
      <c r="BG35" s="11">
        <v>3</v>
      </c>
      <c r="BH35" s="11">
        <v>4</v>
      </c>
    </row>
    <row r="36" spans="1:60" x14ac:dyDescent="0.25">
      <c r="A36" s="11"/>
      <c r="B36" s="11"/>
      <c r="C36" s="11"/>
      <c r="D36" s="11"/>
      <c r="F36" s="11"/>
      <c r="G36" s="11"/>
      <c r="H36" s="11"/>
      <c r="J36" s="11">
        <v>10</v>
      </c>
      <c r="K36" s="105" t="s">
        <v>330</v>
      </c>
      <c r="M36" s="11"/>
      <c r="N36" s="11"/>
      <c r="O36" s="11"/>
      <c r="P36" s="11"/>
      <c r="Q36" s="11"/>
      <c r="R36" s="11"/>
      <c r="S36" s="11"/>
      <c r="T36" s="11"/>
      <c r="U36" s="11"/>
      <c r="V36" s="11"/>
      <c r="W36" s="11"/>
      <c r="X36" s="11"/>
      <c r="Y36" s="11"/>
      <c r="Z36" s="11"/>
      <c r="AA36" s="11"/>
      <c r="AB36" s="11"/>
      <c r="AD36" s="11"/>
      <c r="AE36" s="11"/>
      <c r="AF36" s="11"/>
      <c r="AG36" s="11"/>
      <c r="AH36" s="11"/>
      <c r="AI36" s="11"/>
      <c r="AJ36" s="11"/>
      <c r="AK36" s="11"/>
      <c r="AL36" s="11"/>
      <c r="AM36" s="11"/>
      <c r="AN36" s="11"/>
      <c r="AO36" s="11"/>
      <c r="AP36" s="11"/>
      <c r="AQ36" s="11"/>
      <c r="AR36" s="11"/>
      <c r="AS36" s="11"/>
      <c r="AU36" s="12">
        <v>33</v>
      </c>
      <c r="AV36" s="49" t="s">
        <v>106</v>
      </c>
      <c r="AW36" s="50">
        <v>69</v>
      </c>
      <c r="AX36" s="108">
        <v>1</v>
      </c>
      <c r="AZ36" s="130">
        <v>33</v>
      </c>
      <c r="BA36" s="5">
        <v>5</v>
      </c>
      <c r="BB36" s="5">
        <v>6</v>
      </c>
      <c r="BD36" s="11">
        <v>33</v>
      </c>
      <c r="BE36" s="11">
        <v>23</v>
      </c>
      <c r="BF36" s="11">
        <v>1</v>
      </c>
      <c r="BG36" s="11">
        <v>5</v>
      </c>
      <c r="BH36" s="11">
        <v>1</v>
      </c>
    </row>
    <row r="37" spans="1:60" x14ac:dyDescent="0.25">
      <c r="A37" s="11"/>
      <c r="B37" s="11"/>
      <c r="C37" s="11"/>
      <c r="D37" s="11"/>
      <c r="F37" s="11"/>
      <c r="G37" s="11"/>
      <c r="H37" s="11"/>
      <c r="J37" s="11">
        <v>11</v>
      </c>
      <c r="K37" s="105" t="s">
        <v>331</v>
      </c>
      <c r="M37" s="11"/>
      <c r="N37" s="11"/>
      <c r="O37" s="11"/>
      <c r="P37" s="11"/>
      <c r="Q37" s="11"/>
      <c r="R37" s="11"/>
      <c r="S37" s="11"/>
      <c r="T37" s="11"/>
      <c r="U37" s="11"/>
      <c r="V37" s="11"/>
      <c r="W37" s="11"/>
      <c r="X37" s="11"/>
      <c r="Y37" s="11"/>
      <c r="Z37" s="11"/>
      <c r="AA37" s="11"/>
      <c r="AB37" s="11"/>
      <c r="AD37" s="11"/>
      <c r="AE37" s="11"/>
      <c r="AF37" s="11"/>
      <c r="AG37" s="11"/>
      <c r="AH37" s="11"/>
      <c r="AI37" s="11"/>
      <c r="AJ37" s="11"/>
      <c r="AK37" s="11"/>
      <c r="AL37" s="11"/>
      <c r="AM37" s="11"/>
      <c r="AN37" s="11"/>
      <c r="AO37" s="11"/>
      <c r="AP37" s="11"/>
      <c r="AQ37" s="11"/>
      <c r="AR37" s="11"/>
      <c r="AS37" s="11"/>
      <c r="AU37" s="12">
        <v>34</v>
      </c>
      <c r="AV37" s="51" t="s">
        <v>107</v>
      </c>
      <c r="AW37" s="50">
        <v>36</v>
      </c>
      <c r="AX37" s="108">
        <v>1</v>
      </c>
      <c r="AZ37" s="130">
        <v>34</v>
      </c>
      <c r="BA37" s="5">
        <v>4</v>
      </c>
      <c r="BB37" s="5">
        <v>6</v>
      </c>
      <c r="BD37" s="11">
        <v>34</v>
      </c>
      <c r="BE37" s="11">
        <v>23</v>
      </c>
      <c r="BF37" s="11">
        <v>5</v>
      </c>
      <c r="BG37" s="11">
        <v>5</v>
      </c>
      <c r="BH37" s="11">
        <v>1</v>
      </c>
    </row>
    <row r="38" spans="1:60" x14ac:dyDescent="0.25">
      <c r="A38" s="11"/>
      <c r="B38" s="11"/>
      <c r="C38" s="11"/>
      <c r="D38" s="11"/>
      <c r="F38" s="11"/>
      <c r="G38" s="11"/>
      <c r="H38" s="11"/>
      <c r="J38" s="11">
        <v>12</v>
      </c>
      <c r="K38" s="105" t="s">
        <v>22</v>
      </c>
      <c r="M38" s="11"/>
      <c r="N38" s="11"/>
      <c r="O38" s="11"/>
      <c r="P38" s="11"/>
      <c r="Q38" s="11"/>
      <c r="R38" s="11"/>
      <c r="S38" s="11"/>
      <c r="T38" s="11"/>
      <c r="U38" s="11"/>
      <c r="V38" s="11"/>
      <c r="W38" s="11"/>
      <c r="X38" s="11"/>
      <c r="Y38" s="11"/>
      <c r="Z38" s="11"/>
      <c r="AA38" s="11"/>
      <c r="AB38" s="11"/>
      <c r="AD38" s="11"/>
      <c r="AE38" s="11"/>
      <c r="AF38" s="11"/>
      <c r="AG38" s="11"/>
      <c r="AH38" s="11"/>
      <c r="AI38" s="11"/>
      <c r="AJ38" s="11"/>
      <c r="AK38" s="11"/>
      <c r="AL38" s="11"/>
      <c r="AM38" s="11"/>
      <c r="AN38" s="11"/>
      <c r="AO38" s="11"/>
      <c r="AP38" s="11"/>
      <c r="AQ38" s="11"/>
      <c r="AR38" s="11"/>
      <c r="AS38" s="11"/>
      <c r="AU38" s="12">
        <v>35</v>
      </c>
      <c r="AV38" s="49" t="s">
        <v>108</v>
      </c>
      <c r="AW38" s="50">
        <v>16</v>
      </c>
      <c r="AX38" s="108">
        <v>1</v>
      </c>
      <c r="AZ38" s="130">
        <v>35</v>
      </c>
      <c r="BA38" s="5">
        <v>4</v>
      </c>
      <c r="BB38" s="5">
        <v>4</v>
      </c>
      <c r="BD38" s="11">
        <v>35</v>
      </c>
      <c r="BE38" s="11">
        <v>24</v>
      </c>
      <c r="BF38" s="11">
        <v>2</v>
      </c>
      <c r="BG38" s="11">
        <v>7</v>
      </c>
      <c r="BH38" s="11">
        <v>4</v>
      </c>
    </row>
    <row r="39" spans="1:60" x14ac:dyDescent="0.25">
      <c r="A39" s="11"/>
      <c r="B39" s="11"/>
      <c r="C39" s="11"/>
      <c r="D39" s="11"/>
      <c r="F39" s="11"/>
      <c r="G39" s="11"/>
      <c r="H39" s="11"/>
      <c r="J39" s="11">
        <v>13</v>
      </c>
      <c r="K39" s="105" t="s">
        <v>24</v>
      </c>
      <c r="M39" s="11"/>
      <c r="N39" s="11"/>
      <c r="O39" s="11"/>
      <c r="P39" s="11"/>
      <c r="Q39" s="11"/>
      <c r="R39" s="11"/>
      <c r="S39" s="11"/>
      <c r="T39" s="11"/>
      <c r="U39" s="11"/>
      <c r="V39" s="11"/>
      <c r="W39" s="11"/>
      <c r="X39" s="11"/>
      <c r="Y39" s="11"/>
      <c r="Z39" s="11"/>
      <c r="AA39" s="11"/>
      <c r="AB39" s="11"/>
      <c r="AD39" s="11"/>
      <c r="AE39" s="11"/>
      <c r="AF39" s="11"/>
      <c r="AG39" s="11"/>
      <c r="AH39" s="11"/>
      <c r="AI39" s="11"/>
      <c r="AJ39" s="11"/>
      <c r="AK39" s="11"/>
      <c r="AL39" s="11"/>
      <c r="AM39" s="11"/>
      <c r="AN39" s="11"/>
      <c r="AO39" s="11"/>
      <c r="AP39" s="11"/>
      <c r="AQ39" s="11"/>
      <c r="AR39" s="11"/>
      <c r="AS39" s="11"/>
      <c r="AU39" s="12">
        <v>36</v>
      </c>
      <c r="AV39" s="51" t="s">
        <v>109</v>
      </c>
      <c r="AW39" s="50">
        <v>15</v>
      </c>
      <c r="AX39" s="108">
        <v>1</v>
      </c>
      <c r="AZ39" s="130">
        <v>36</v>
      </c>
      <c r="BA39" s="5">
        <v>3</v>
      </c>
      <c r="BB39" s="5">
        <v>7</v>
      </c>
      <c r="BD39" s="11">
        <v>36</v>
      </c>
      <c r="BE39" s="11">
        <v>24</v>
      </c>
      <c r="BF39" s="11">
        <v>4</v>
      </c>
      <c r="BG39" s="11">
        <v>7</v>
      </c>
      <c r="BH39" s="11">
        <v>4</v>
      </c>
    </row>
    <row r="40" spans="1:60" x14ac:dyDescent="0.25">
      <c r="A40" s="11"/>
      <c r="B40" s="11"/>
      <c r="C40" s="11"/>
      <c r="D40" s="11"/>
      <c r="F40" s="11"/>
      <c r="G40" s="11"/>
      <c r="H40" s="11"/>
      <c r="J40" s="11">
        <v>14</v>
      </c>
      <c r="K40" s="105" t="s">
        <v>25</v>
      </c>
      <c r="M40" s="11"/>
      <c r="N40" s="11"/>
      <c r="O40" s="11"/>
      <c r="P40" s="11"/>
      <c r="Q40" s="11"/>
      <c r="R40" s="11"/>
      <c r="S40" s="11"/>
      <c r="T40" s="11"/>
      <c r="U40" s="11"/>
      <c r="V40" s="11"/>
      <c r="W40" s="11"/>
      <c r="X40" s="11"/>
      <c r="Y40" s="11"/>
      <c r="Z40" s="11"/>
      <c r="AA40" s="11"/>
      <c r="AB40" s="11"/>
      <c r="AD40" s="11"/>
      <c r="AE40" s="11"/>
      <c r="AF40" s="11"/>
      <c r="AG40" s="11"/>
      <c r="AH40" s="11"/>
      <c r="AI40" s="11"/>
      <c r="AJ40" s="11"/>
      <c r="AK40" s="11"/>
      <c r="AL40" s="11"/>
      <c r="AM40" s="11"/>
      <c r="AN40" s="11"/>
      <c r="AO40" s="11"/>
      <c r="AP40" s="11"/>
      <c r="AQ40" s="11"/>
      <c r="AR40" s="11"/>
      <c r="AS40" s="11"/>
      <c r="AU40" s="12">
        <v>37</v>
      </c>
      <c r="AV40" s="49" t="s">
        <v>110</v>
      </c>
      <c r="AW40" s="50">
        <v>48</v>
      </c>
      <c r="AX40" s="108">
        <v>2</v>
      </c>
      <c r="AZ40" s="130">
        <v>37</v>
      </c>
      <c r="BA40" s="5">
        <v>2</v>
      </c>
      <c r="BB40" s="5">
        <v>2</v>
      </c>
      <c r="BD40" s="11">
        <v>37</v>
      </c>
      <c r="BE40" s="11">
        <v>25</v>
      </c>
      <c r="BF40" s="11">
        <v>1</v>
      </c>
      <c r="BG40" s="11">
        <v>4</v>
      </c>
      <c r="BH40" s="11">
        <v>1</v>
      </c>
    </row>
    <row r="41" spans="1:60" ht="15.75" thickBot="1" x14ac:dyDescent="0.3">
      <c r="A41" s="123"/>
      <c r="B41" s="123"/>
      <c r="C41" s="123"/>
      <c r="D41" s="123"/>
      <c r="F41" s="11"/>
      <c r="G41" s="11"/>
      <c r="H41" s="11"/>
      <c r="J41" s="11">
        <v>15</v>
      </c>
      <c r="K41" s="105" t="s">
        <v>26</v>
      </c>
      <c r="M41" s="11"/>
      <c r="N41" s="11"/>
      <c r="O41" s="11"/>
      <c r="P41" s="11"/>
      <c r="Q41" s="11"/>
      <c r="R41" s="11"/>
      <c r="S41" s="11"/>
      <c r="T41" s="11"/>
      <c r="U41" s="11"/>
      <c r="V41" s="11"/>
      <c r="W41" s="11"/>
      <c r="X41" s="11"/>
      <c r="Y41" s="11"/>
      <c r="Z41" s="11"/>
      <c r="AA41" s="11"/>
      <c r="AB41" s="11"/>
      <c r="AD41" s="11"/>
      <c r="AE41" s="11"/>
      <c r="AF41" s="11"/>
      <c r="AG41" s="11"/>
      <c r="AH41" s="11"/>
      <c r="AI41" s="11"/>
      <c r="AJ41" s="11"/>
      <c r="AK41" s="11"/>
      <c r="AL41" s="11"/>
      <c r="AM41" s="11"/>
      <c r="AN41" s="11"/>
      <c r="AO41" s="11"/>
      <c r="AP41" s="11"/>
      <c r="AQ41" s="11"/>
      <c r="AR41" s="11"/>
      <c r="AS41" s="11"/>
      <c r="AU41" s="12">
        <v>38</v>
      </c>
      <c r="AV41" s="51" t="s">
        <v>111</v>
      </c>
      <c r="AW41" s="50">
        <v>44</v>
      </c>
      <c r="AX41" s="108">
        <v>1</v>
      </c>
      <c r="AZ41" s="130">
        <v>38</v>
      </c>
      <c r="BA41" s="5">
        <v>3</v>
      </c>
      <c r="BB41" s="5">
        <v>5</v>
      </c>
      <c r="BD41" s="11">
        <v>38</v>
      </c>
      <c r="BE41" s="11">
        <v>25</v>
      </c>
      <c r="BF41" s="11">
        <v>2</v>
      </c>
      <c r="BG41" s="11">
        <v>4</v>
      </c>
      <c r="BH41" s="11">
        <v>1</v>
      </c>
    </row>
    <row r="42" spans="1:60" ht="15.75" thickBot="1" x14ac:dyDescent="0.3">
      <c r="A42" s="126">
        <f>MAX(A3:A41)</f>
        <v>27</v>
      </c>
      <c r="B42" s="127"/>
      <c r="C42" s="126" t="s">
        <v>443</v>
      </c>
      <c r="D42" s="128">
        <f>SUM(D3:D41)</f>
        <v>381</v>
      </c>
      <c r="F42" s="11"/>
      <c r="G42" s="11"/>
      <c r="H42" s="11"/>
      <c r="AU42" s="12">
        <v>39</v>
      </c>
      <c r="AV42" s="49" t="s">
        <v>112</v>
      </c>
      <c r="AW42" s="50">
        <v>45</v>
      </c>
      <c r="AX42" s="108">
        <v>2</v>
      </c>
      <c r="AZ42" s="130">
        <v>39</v>
      </c>
      <c r="BA42" s="5">
        <v>5</v>
      </c>
      <c r="BB42" s="5">
        <v>7</v>
      </c>
      <c r="BD42" s="11">
        <v>39</v>
      </c>
      <c r="BE42" s="11">
        <v>26</v>
      </c>
      <c r="BF42" s="11">
        <v>2</v>
      </c>
      <c r="BG42" s="11">
        <v>3</v>
      </c>
      <c r="BH42" s="11">
        <v>4</v>
      </c>
    </row>
    <row r="43" spans="1:60" ht="15.75" thickBot="1" x14ac:dyDescent="0.3">
      <c r="A43" s="124"/>
      <c r="B43" s="125"/>
      <c r="C43" s="124" t="s">
        <v>444</v>
      </c>
      <c r="D43" s="129">
        <f>(C1-D42)</f>
        <v>-7</v>
      </c>
      <c r="F43" s="11"/>
      <c r="G43" s="11"/>
      <c r="H43" s="11"/>
      <c r="AU43" s="12">
        <v>40</v>
      </c>
      <c r="AV43" s="51" t="s">
        <v>113</v>
      </c>
      <c r="AW43" s="50">
        <v>44</v>
      </c>
      <c r="AX43" s="108">
        <v>2</v>
      </c>
      <c r="AZ43" s="130">
        <v>40</v>
      </c>
      <c r="BA43" s="5">
        <v>1</v>
      </c>
      <c r="BB43" s="5">
        <v>2</v>
      </c>
      <c r="BD43" s="11">
        <v>40</v>
      </c>
      <c r="BE43" s="11">
        <v>26</v>
      </c>
      <c r="BF43" s="11">
        <v>5</v>
      </c>
      <c r="BG43" s="11">
        <v>3</v>
      </c>
      <c r="BH43" s="11">
        <v>4</v>
      </c>
    </row>
    <row r="44" spans="1:60" x14ac:dyDescent="0.25">
      <c r="AU44" s="12">
        <v>41</v>
      </c>
      <c r="AV44" s="49" t="s">
        <v>114</v>
      </c>
      <c r="AW44" s="50">
        <v>46</v>
      </c>
      <c r="AX44" s="108">
        <v>2</v>
      </c>
      <c r="AZ44" s="130">
        <v>41</v>
      </c>
      <c r="BA44" s="5">
        <v>6</v>
      </c>
      <c r="BB44" s="5">
        <v>7</v>
      </c>
      <c r="BD44" s="11">
        <v>41</v>
      </c>
      <c r="BE44" s="11">
        <v>27</v>
      </c>
      <c r="BF44" s="11">
        <v>3</v>
      </c>
      <c r="BG44" s="11">
        <v>1</v>
      </c>
      <c r="BH44" s="11">
        <v>7</v>
      </c>
    </row>
    <row r="45" spans="1:60" x14ac:dyDescent="0.25">
      <c r="AU45" s="12">
        <v>42</v>
      </c>
      <c r="AV45" s="49" t="s">
        <v>115</v>
      </c>
      <c r="AW45" s="50">
        <v>20</v>
      </c>
      <c r="AX45" s="108">
        <v>2</v>
      </c>
      <c r="AZ45" s="130">
        <v>42</v>
      </c>
      <c r="BA45" s="5">
        <v>5</v>
      </c>
      <c r="BB45" s="5">
        <v>4</v>
      </c>
      <c r="BD45" s="11">
        <v>42</v>
      </c>
      <c r="BE45" s="11">
        <v>27</v>
      </c>
      <c r="BF45" s="11">
        <v>6</v>
      </c>
      <c r="BG45" s="11">
        <v>1</v>
      </c>
      <c r="BH45" s="11">
        <v>7</v>
      </c>
    </row>
    <row r="46" spans="1:60" x14ac:dyDescent="0.25">
      <c r="AU46" s="12">
        <v>43</v>
      </c>
      <c r="AV46" s="51" t="s">
        <v>116</v>
      </c>
      <c r="AW46" s="50">
        <v>17</v>
      </c>
      <c r="AX46" s="108">
        <v>2</v>
      </c>
      <c r="AZ46" s="130">
        <v>43</v>
      </c>
      <c r="BA46" s="5">
        <v>7</v>
      </c>
      <c r="BB46" s="5">
        <v>1</v>
      </c>
      <c r="BD46" s="11">
        <v>43</v>
      </c>
      <c r="BE46" s="11">
        <v>28</v>
      </c>
      <c r="BF46" s="11">
        <v>3</v>
      </c>
      <c r="BG46" s="11">
        <v>7</v>
      </c>
      <c r="BH46" s="11">
        <v>5</v>
      </c>
    </row>
    <row r="47" spans="1:60" x14ac:dyDescent="0.25">
      <c r="AU47" s="12">
        <v>44</v>
      </c>
      <c r="AV47" s="49" t="s">
        <v>117</v>
      </c>
      <c r="AW47" s="50">
        <v>28</v>
      </c>
      <c r="AX47" s="108">
        <v>1</v>
      </c>
      <c r="AZ47" s="130">
        <v>44</v>
      </c>
      <c r="BA47" s="5">
        <v>7</v>
      </c>
      <c r="BB47" s="5">
        <v>3</v>
      </c>
      <c r="BD47" s="11">
        <v>44</v>
      </c>
      <c r="BE47" s="11">
        <v>28</v>
      </c>
      <c r="BF47" s="11">
        <v>4</v>
      </c>
      <c r="BG47" s="11">
        <v>7</v>
      </c>
      <c r="BH47" s="11">
        <v>5</v>
      </c>
    </row>
    <row r="48" spans="1:60" x14ac:dyDescent="0.25">
      <c r="AU48" s="12">
        <v>45</v>
      </c>
      <c r="AV48" s="51" t="s">
        <v>118</v>
      </c>
      <c r="AW48" s="50">
        <v>20</v>
      </c>
      <c r="AX48" s="108">
        <v>2</v>
      </c>
      <c r="AZ48" s="130">
        <v>45</v>
      </c>
      <c r="BA48" s="5">
        <v>2</v>
      </c>
      <c r="BB48" s="5">
        <v>6</v>
      </c>
      <c r="BD48" s="11">
        <v>45</v>
      </c>
      <c r="BE48" s="11">
        <v>29</v>
      </c>
      <c r="BF48" s="11">
        <v>6</v>
      </c>
      <c r="BG48" s="11">
        <v>3</v>
      </c>
      <c r="BH48" s="11">
        <v>3</v>
      </c>
    </row>
    <row r="49" spans="47:60" x14ac:dyDescent="0.25">
      <c r="AU49" s="12">
        <v>46</v>
      </c>
      <c r="AV49" s="49" t="s">
        <v>119</v>
      </c>
      <c r="AW49" s="50">
        <v>17</v>
      </c>
      <c r="AX49" s="108">
        <v>2</v>
      </c>
      <c r="AZ49" s="130">
        <v>46</v>
      </c>
      <c r="BA49" s="5">
        <v>2</v>
      </c>
      <c r="BB49" s="5">
        <v>5</v>
      </c>
      <c r="BD49" s="11">
        <v>46</v>
      </c>
      <c r="BE49" s="11">
        <v>30</v>
      </c>
      <c r="BF49" s="11">
        <v>4</v>
      </c>
      <c r="BG49" s="11">
        <v>5</v>
      </c>
      <c r="BH49" s="11">
        <v>5</v>
      </c>
    </row>
    <row r="50" spans="47:60" x14ac:dyDescent="0.25">
      <c r="AU50" s="12">
        <v>47</v>
      </c>
      <c r="AV50" s="51" t="s">
        <v>120</v>
      </c>
      <c r="AW50" s="50">
        <v>20</v>
      </c>
      <c r="AX50" s="108">
        <v>2</v>
      </c>
      <c r="AZ50" s="130">
        <v>47</v>
      </c>
      <c r="BA50" s="5">
        <v>1</v>
      </c>
      <c r="BB50" s="5">
        <v>6</v>
      </c>
      <c r="BD50" s="11">
        <v>47</v>
      </c>
      <c r="BE50" s="11">
        <v>31</v>
      </c>
      <c r="BF50" s="11">
        <v>2</v>
      </c>
      <c r="BG50" s="11">
        <v>6</v>
      </c>
      <c r="BH50" s="11">
        <v>6</v>
      </c>
    </row>
    <row r="51" spans="47:60" x14ac:dyDescent="0.25">
      <c r="AU51" s="12">
        <v>48</v>
      </c>
      <c r="AV51" s="49" t="s">
        <v>121</v>
      </c>
      <c r="AW51" s="50">
        <v>30</v>
      </c>
      <c r="AX51" s="108">
        <v>1</v>
      </c>
      <c r="AZ51" s="130">
        <v>48</v>
      </c>
      <c r="BA51" s="5">
        <v>2</v>
      </c>
      <c r="BB51" s="5">
        <v>1</v>
      </c>
      <c r="BD51" s="11">
        <v>48</v>
      </c>
      <c r="BE51" s="11">
        <v>31</v>
      </c>
      <c r="BF51" s="11">
        <v>5</v>
      </c>
      <c r="BG51" s="11">
        <v>6</v>
      </c>
      <c r="BH51" s="11">
        <v>6</v>
      </c>
    </row>
    <row r="52" spans="47:60" x14ac:dyDescent="0.25">
      <c r="AU52" s="12">
        <v>49</v>
      </c>
      <c r="AV52" s="52" t="s">
        <v>122</v>
      </c>
      <c r="AW52" s="53">
        <v>135</v>
      </c>
      <c r="AX52" s="108">
        <v>1</v>
      </c>
      <c r="AZ52" s="130">
        <v>49</v>
      </c>
      <c r="BA52" s="5">
        <v>8</v>
      </c>
      <c r="BB52" s="5">
        <v>4</v>
      </c>
      <c r="BD52" s="11">
        <v>49</v>
      </c>
      <c r="BE52" s="11">
        <v>32</v>
      </c>
      <c r="BF52" s="11">
        <v>2</v>
      </c>
      <c r="BG52" s="11">
        <v>5</v>
      </c>
      <c r="BH52" s="11">
        <v>6</v>
      </c>
    </row>
    <row r="53" spans="47:60" x14ac:dyDescent="0.25">
      <c r="AU53" s="12">
        <v>50</v>
      </c>
      <c r="AV53" s="52" t="s">
        <v>123</v>
      </c>
      <c r="AW53" s="53">
        <v>121</v>
      </c>
      <c r="AX53" s="108">
        <v>1</v>
      </c>
      <c r="AZ53" s="130">
        <v>50</v>
      </c>
      <c r="BA53" s="5">
        <v>6</v>
      </c>
      <c r="BB53" s="5">
        <v>6</v>
      </c>
      <c r="BD53" s="11">
        <v>50</v>
      </c>
      <c r="BE53" s="11">
        <v>32</v>
      </c>
      <c r="BF53" s="11">
        <v>9</v>
      </c>
      <c r="BG53" s="11">
        <v>5</v>
      </c>
      <c r="BH53" s="11">
        <v>6</v>
      </c>
    </row>
    <row r="54" spans="47:60" x14ac:dyDescent="0.25">
      <c r="AU54" s="12">
        <v>51</v>
      </c>
      <c r="AV54" s="52" t="s">
        <v>124</v>
      </c>
      <c r="AW54" s="53">
        <v>104</v>
      </c>
      <c r="AX54" s="108">
        <v>1</v>
      </c>
      <c r="AZ54" s="130">
        <v>51</v>
      </c>
      <c r="BA54" s="5">
        <v>5</v>
      </c>
      <c r="BB54" s="5">
        <v>6</v>
      </c>
      <c r="BD54" s="11">
        <v>51</v>
      </c>
      <c r="BE54" s="11">
        <v>33</v>
      </c>
      <c r="BF54" s="11">
        <v>9</v>
      </c>
      <c r="BG54" s="11">
        <v>4</v>
      </c>
      <c r="BH54" s="11">
        <v>6</v>
      </c>
    </row>
    <row r="55" spans="47:60" x14ac:dyDescent="0.25">
      <c r="AU55" s="12">
        <v>52</v>
      </c>
      <c r="AV55" s="52" t="s">
        <v>125</v>
      </c>
      <c r="AW55" s="53">
        <v>54</v>
      </c>
      <c r="AX55" s="108">
        <v>2</v>
      </c>
      <c r="AZ55" s="130">
        <v>52</v>
      </c>
      <c r="BA55" s="5">
        <v>4</v>
      </c>
      <c r="BB55" s="5">
        <v>6</v>
      </c>
      <c r="BD55" s="11">
        <v>52</v>
      </c>
      <c r="BE55" s="11">
        <v>33</v>
      </c>
      <c r="BF55" s="11">
        <v>11</v>
      </c>
      <c r="BG55" s="11">
        <v>4</v>
      </c>
      <c r="BH55" s="11">
        <v>6</v>
      </c>
    </row>
    <row r="56" spans="47:60" x14ac:dyDescent="0.25">
      <c r="AU56" s="12">
        <v>53</v>
      </c>
      <c r="AV56" s="52" t="s">
        <v>126</v>
      </c>
      <c r="AW56" s="53">
        <v>60</v>
      </c>
      <c r="AX56" s="108">
        <v>2</v>
      </c>
      <c r="AZ56" s="130">
        <v>53</v>
      </c>
      <c r="BA56" s="5">
        <v>3</v>
      </c>
      <c r="BB56" s="5">
        <v>1</v>
      </c>
      <c r="BD56" s="11">
        <v>53</v>
      </c>
      <c r="BE56" s="11">
        <v>34</v>
      </c>
      <c r="BF56" s="11">
        <v>4</v>
      </c>
      <c r="BG56" s="11">
        <v>4</v>
      </c>
      <c r="BH56" s="11">
        <v>4</v>
      </c>
    </row>
    <row r="57" spans="47:60" x14ac:dyDescent="0.25">
      <c r="AU57" s="12">
        <v>54</v>
      </c>
      <c r="AV57" s="52" t="s">
        <v>127</v>
      </c>
      <c r="AW57" s="53">
        <v>67</v>
      </c>
      <c r="AX57" s="108">
        <v>2</v>
      </c>
      <c r="AZ57" s="130">
        <v>54</v>
      </c>
      <c r="BA57" s="5">
        <v>8</v>
      </c>
      <c r="BB57" s="5">
        <v>3</v>
      </c>
      <c r="BD57" s="11">
        <v>54</v>
      </c>
      <c r="BE57" s="11">
        <v>35</v>
      </c>
      <c r="BF57" s="11">
        <v>7</v>
      </c>
      <c r="BG57" s="11">
        <v>3</v>
      </c>
      <c r="BH57" s="11">
        <v>7</v>
      </c>
    </row>
    <row r="58" spans="47:60" x14ac:dyDescent="0.25">
      <c r="AU58" s="12">
        <v>55</v>
      </c>
      <c r="AV58" s="52" t="s">
        <v>128</v>
      </c>
      <c r="AW58" s="53">
        <v>60</v>
      </c>
      <c r="AX58" s="108">
        <v>2</v>
      </c>
      <c r="AZ58" s="130">
        <v>55</v>
      </c>
      <c r="BA58" s="5">
        <v>2</v>
      </c>
      <c r="BB58" s="5">
        <v>4</v>
      </c>
      <c r="BD58" s="11">
        <v>55</v>
      </c>
      <c r="BE58" s="11">
        <v>36</v>
      </c>
      <c r="BF58" s="11">
        <v>4</v>
      </c>
      <c r="BG58" s="11">
        <v>2</v>
      </c>
      <c r="BH58" s="11">
        <v>2</v>
      </c>
    </row>
    <row r="59" spans="47:60" x14ac:dyDescent="0.25">
      <c r="AU59" s="12">
        <v>56</v>
      </c>
      <c r="AV59" s="52" t="s">
        <v>129</v>
      </c>
      <c r="AW59" s="53">
        <v>127</v>
      </c>
      <c r="AX59" s="108">
        <v>2</v>
      </c>
      <c r="AZ59" s="130">
        <v>56</v>
      </c>
      <c r="BA59" s="5">
        <v>7</v>
      </c>
      <c r="BB59" s="5">
        <v>1</v>
      </c>
      <c r="BD59" s="11">
        <v>56</v>
      </c>
      <c r="BE59" s="11">
        <v>37</v>
      </c>
      <c r="BF59" s="11">
        <v>2</v>
      </c>
      <c r="BG59" s="11">
        <v>3</v>
      </c>
      <c r="BH59" s="11">
        <v>5</v>
      </c>
    </row>
    <row r="60" spans="47:60" x14ac:dyDescent="0.25">
      <c r="AU60" s="12">
        <v>57</v>
      </c>
      <c r="AV60" s="52" t="s">
        <v>130</v>
      </c>
      <c r="AW60" s="53">
        <v>175</v>
      </c>
      <c r="AX60" s="108">
        <v>2</v>
      </c>
      <c r="AZ60" s="130">
        <v>57</v>
      </c>
      <c r="BA60" s="5">
        <v>4</v>
      </c>
      <c r="BB60" s="5">
        <v>5</v>
      </c>
      <c r="BD60" s="11">
        <v>57</v>
      </c>
      <c r="BE60" s="11">
        <v>38</v>
      </c>
      <c r="BF60" s="11">
        <v>1</v>
      </c>
      <c r="BG60" s="11">
        <v>5</v>
      </c>
      <c r="BH60" s="11">
        <v>7</v>
      </c>
    </row>
    <row r="61" spans="47:60" x14ac:dyDescent="0.25">
      <c r="AU61" s="12">
        <v>58</v>
      </c>
      <c r="AV61" s="52" t="s">
        <v>131</v>
      </c>
      <c r="AW61" s="53">
        <v>64</v>
      </c>
      <c r="AX61" s="108">
        <v>1</v>
      </c>
      <c r="AZ61" s="130">
        <v>58</v>
      </c>
      <c r="BA61" s="5">
        <v>4</v>
      </c>
      <c r="BB61" s="5">
        <v>7</v>
      </c>
      <c r="BD61" s="11">
        <v>58</v>
      </c>
      <c r="BE61" s="11">
        <v>39</v>
      </c>
      <c r="BF61" s="11">
        <v>8</v>
      </c>
      <c r="BG61" s="11">
        <v>1</v>
      </c>
      <c r="BH61" s="11">
        <v>2</v>
      </c>
    </row>
    <row r="62" spans="47:60" x14ac:dyDescent="0.25">
      <c r="AU62" s="12">
        <v>59</v>
      </c>
      <c r="AV62" s="52" t="s">
        <v>132</v>
      </c>
      <c r="AW62" s="53">
        <v>56</v>
      </c>
      <c r="AX62" s="108">
        <v>1</v>
      </c>
      <c r="AZ62" s="130">
        <v>59</v>
      </c>
      <c r="BA62" s="5">
        <v>1</v>
      </c>
      <c r="BB62" s="5">
        <v>7</v>
      </c>
      <c r="BD62" s="11">
        <v>59</v>
      </c>
      <c r="BE62" s="11">
        <v>40</v>
      </c>
      <c r="BF62" s="11">
        <v>11</v>
      </c>
      <c r="BG62" s="11">
        <v>6</v>
      </c>
      <c r="BH62" s="11">
        <v>7</v>
      </c>
    </row>
    <row r="63" spans="47:60" x14ac:dyDescent="0.25">
      <c r="AU63" s="12">
        <v>60</v>
      </c>
      <c r="AV63" s="52" t="s">
        <v>133</v>
      </c>
      <c r="AW63" s="53">
        <v>29</v>
      </c>
      <c r="AX63" s="108">
        <v>1</v>
      </c>
      <c r="AZ63" s="130">
        <v>60</v>
      </c>
      <c r="BA63" s="5">
        <v>1</v>
      </c>
      <c r="BB63" s="5">
        <v>7</v>
      </c>
      <c r="BD63" s="11">
        <v>60</v>
      </c>
      <c r="BE63" s="11">
        <v>41</v>
      </c>
      <c r="BF63" s="11">
        <v>2</v>
      </c>
      <c r="BG63" s="11">
        <v>5</v>
      </c>
      <c r="BH63" s="11">
        <v>4</v>
      </c>
    </row>
    <row r="64" spans="47:60" x14ac:dyDescent="0.25">
      <c r="AU64" s="12">
        <v>61</v>
      </c>
      <c r="AV64" s="52" t="s">
        <v>134</v>
      </c>
      <c r="AW64" s="53">
        <v>27</v>
      </c>
      <c r="AX64" s="108">
        <v>1</v>
      </c>
      <c r="AZ64" s="130">
        <v>61</v>
      </c>
      <c r="BA64" s="5">
        <v>3</v>
      </c>
      <c r="BB64" s="5">
        <v>4</v>
      </c>
      <c r="BD64" s="11">
        <v>61</v>
      </c>
      <c r="BE64" s="11">
        <v>42</v>
      </c>
      <c r="BF64" s="11">
        <v>2</v>
      </c>
      <c r="BG64" s="11">
        <v>7</v>
      </c>
      <c r="BH64" s="11">
        <v>1</v>
      </c>
    </row>
    <row r="65" spans="47:60" x14ac:dyDescent="0.25">
      <c r="AU65" s="12">
        <v>62</v>
      </c>
      <c r="AV65" s="52" t="s">
        <v>135</v>
      </c>
      <c r="AW65" s="53">
        <v>28</v>
      </c>
      <c r="AX65" s="108">
        <v>1</v>
      </c>
      <c r="AZ65" s="130">
        <v>62</v>
      </c>
      <c r="BA65" s="5">
        <v>5</v>
      </c>
      <c r="BB65" s="5">
        <v>1</v>
      </c>
      <c r="BD65" s="11">
        <v>62</v>
      </c>
      <c r="BE65" s="11">
        <v>43</v>
      </c>
      <c r="BF65" s="11">
        <v>3</v>
      </c>
      <c r="BG65" s="11">
        <v>7</v>
      </c>
      <c r="BH65" s="11">
        <v>3</v>
      </c>
    </row>
    <row r="66" spans="47:60" x14ac:dyDescent="0.25">
      <c r="AU66" s="12">
        <v>63</v>
      </c>
      <c r="AV66" s="52" t="s">
        <v>136</v>
      </c>
      <c r="AW66" s="53">
        <v>29</v>
      </c>
      <c r="AX66" s="108">
        <v>2</v>
      </c>
      <c r="AZ66" s="130">
        <v>63</v>
      </c>
      <c r="BA66" s="5">
        <v>1</v>
      </c>
      <c r="BB66" s="5">
        <v>3</v>
      </c>
      <c r="BD66" s="11">
        <v>63</v>
      </c>
      <c r="BE66" s="11">
        <v>44</v>
      </c>
      <c r="BF66" s="11">
        <v>4</v>
      </c>
      <c r="BG66" s="11">
        <v>2</v>
      </c>
      <c r="BH66" s="11">
        <v>6</v>
      </c>
    </row>
    <row r="67" spans="47:60" x14ac:dyDescent="0.25">
      <c r="AU67" s="12">
        <v>64</v>
      </c>
      <c r="AV67" s="52" t="s">
        <v>137</v>
      </c>
      <c r="AW67" s="53">
        <v>118</v>
      </c>
      <c r="AX67" s="108">
        <v>2</v>
      </c>
      <c r="AZ67" s="130">
        <v>64</v>
      </c>
      <c r="BA67" s="5">
        <v>3</v>
      </c>
      <c r="BB67" s="5">
        <v>2</v>
      </c>
      <c r="BD67" s="11">
        <v>64</v>
      </c>
      <c r="BE67" s="11">
        <v>45</v>
      </c>
      <c r="BF67" s="11">
        <v>2</v>
      </c>
      <c r="BG67" s="11">
        <v>2</v>
      </c>
      <c r="BH67" s="11">
        <v>5</v>
      </c>
    </row>
    <row r="68" spans="47:60" x14ac:dyDescent="0.25">
      <c r="AU68" s="12">
        <v>65</v>
      </c>
      <c r="AV68" s="52" t="s">
        <v>138</v>
      </c>
      <c r="AW68" s="53">
        <v>65</v>
      </c>
      <c r="AX68" s="108">
        <v>2</v>
      </c>
      <c r="AZ68" s="130">
        <v>65</v>
      </c>
      <c r="BA68" s="5">
        <v>6</v>
      </c>
      <c r="BB68" s="5">
        <v>2</v>
      </c>
      <c r="BD68" s="11">
        <v>65</v>
      </c>
      <c r="BE68" s="11">
        <v>46</v>
      </c>
      <c r="BF68" s="11">
        <v>1</v>
      </c>
      <c r="BG68" s="11">
        <v>1</v>
      </c>
      <c r="BH68" s="11">
        <v>6</v>
      </c>
    </row>
    <row r="69" spans="47:60" x14ac:dyDescent="0.25">
      <c r="AU69" s="12">
        <v>66</v>
      </c>
      <c r="AV69" s="52" t="s">
        <v>139</v>
      </c>
      <c r="AW69" s="53">
        <v>60</v>
      </c>
      <c r="AX69" s="108">
        <v>1</v>
      </c>
      <c r="AZ69" s="130">
        <v>66</v>
      </c>
      <c r="BA69" s="5">
        <v>5</v>
      </c>
      <c r="BB69" s="5">
        <v>4</v>
      </c>
      <c r="BD69" s="11">
        <v>66</v>
      </c>
      <c r="BE69" s="11">
        <v>47</v>
      </c>
      <c r="BF69" s="11">
        <v>5</v>
      </c>
      <c r="BG69" s="11">
        <v>2</v>
      </c>
      <c r="BH69" s="11">
        <v>1</v>
      </c>
    </row>
    <row r="70" spans="47:60" x14ac:dyDescent="0.25">
      <c r="AU70" s="12">
        <v>67</v>
      </c>
      <c r="AV70" s="54" t="s">
        <v>140</v>
      </c>
      <c r="AW70" s="55">
        <v>94</v>
      </c>
      <c r="AX70" s="108">
        <v>2</v>
      </c>
      <c r="AZ70" s="130">
        <v>67</v>
      </c>
      <c r="BA70" s="5">
        <v>6</v>
      </c>
      <c r="BB70" s="5">
        <v>7</v>
      </c>
      <c r="BD70" s="11">
        <v>67</v>
      </c>
      <c r="BE70" s="11">
        <v>48</v>
      </c>
      <c r="BF70" s="11">
        <v>3</v>
      </c>
      <c r="BG70" s="11">
        <v>8</v>
      </c>
      <c r="BH70" s="11">
        <v>4</v>
      </c>
    </row>
    <row r="71" spans="47:60" x14ac:dyDescent="0.25">
      <c r="AU71" s="12">
        <v>68</v>
      </c>
      <c r="AV71" s="54" t="s">
        <v>141</v>
      </c>
      <c r="AW71" s="55">
        <v>57</v>
      </c>
      <c r="AX71" s="108">
        <v>2</v>
      </c>
      <c r="AZ71" s="130">
        <v>68</v>
      </c>
      <c r="BA71" s="5">
        <v>3</v>
      </c>
      <c r="BB71" s="5">
        <v>5</v>
      </c>
      <c r="BD71" s="11">
        <v>68</v>
      </c>
      <c r="BE71" s="11">
        <v>49</v>
      </c>
      <c r="BF71" s="11">
        <v>1</v>
      </c>
      <c r="BG71" s="11">
        <v>6</v>
      </c>
      <c r="BH71" s="11">
        <v>6</v>
      </c>
    </row>
    <row r="72" spans="47:60" x14ac:dyDescent="0.25">
      <c r="AU72" s="12">
        <v>69</v>
      </c>
      <c r="AV72" s="54" t="s">
        <v>142</v>
      </c>
      <c r="AW72" s="55">
        <v>37</v>
      </c>
      <c r="AX72" s="108">
        <v>2</v>
      </c>
      <c r="AZ72" s="130">
        <v>69</v>
      </c>
      <c r="BA72" s="5">
        <v>5</v>
      </c>
      <c r="BB72" s="5">
        <v>7</v>
      </c>
      <c r="BD72" s="11">
        <v>69</v>
      </c>
      <c r="BE72" s="11">
        <v>49</v>
      </c>
      <c r="BF72" s="11">
        <v>4</v>
      </c>
      <c r="BG72" s="11">
        <v>6</v>
      </c>
      <c r="BH72" s="11">
        <v>6</v>
      </c>
    </row>
    <row r="73" spans="47:60" x14ac:dyDescent="0.25">
      <c r="AU73" s="12">
        <v>70</v>
      </c>
      <c r="AV73" s="54" t="s">
        <v>143</v>
      </c>
      <c r="AW73" s="55">
        <v>98</v>
      </c>
      <c r="AX73" s="108">
        <v>2</v>
      </c>
      <c r="AZ73" s="130">
        <v>70</v>
      </c>
      <c r="BA73" s="5">
        <v>3</v>
      </c>
      <c r="BB73" s="5">
        <v>7</v>
      </c>
      <c r="BD73" s="11">
        <v>70</v>
      </c>
      <c r="BE73" s="11">
        <v>49</v>
      </c>
      <c r="BF73" s="11">
        <v>5</v>
      </c>
      <c r="BG73" s="11">
        <v>6</v>
      </c>
      <c r="BH73" s="11">
        <v>6</v>
      </c>
    </row>
    <row r="74" spans="47:60" x14ac:dyDescent="0.25">
      <c r="AU74" s="12">
        <v>71</v>
      </c>
      <c r="AV74" s="54" t="s">
        <v>144</v>
      </c>
      <c r="AW74" s="55">
        <v>92</v>
      </c>
      <c r="AX74" s="108">
        <v>1</v>
      </c>
      <c r="AZ74" s="130">
        <v>71</v>
      </c>
      <c r="BA74" s="5">
        <v>8</v>
      </c>
      <c r="BB74" s="5">
        <v>7</v>
      </c>
      <c r="BD74" s="11">
        <v>71</v>
      </c>
      <c r="BE74" s="11">
        <v>50</v>
      </c>
      <c r="BF74" s="11">
        <v>4</v>
      </c>
      <c r="BG74" s="11">
        <v>5</v>
      </c>
      <c r="BH74" s="11">
        <v>6</v>
      </c>
    </row>
    <row r="75" spans="47:60" x14ac:dyDescent="0.25">
      <c r="AU75" s="12">
        <v>72</v>
      </c>
      <c r="AV75" s="54" t="s">
        <v>145</v>
      </c>
      <c r="AW75" s="55">
        <v>68</v>
      </c>
      <c r="AX75" s="108">
        <v>2</v>
      </c>
      <c r="AZ75" s="130">
        <v>72</v>
      </c>
      <c r="BA75" s="5">
        <v>5</v>
      </c>
      <c r="BB75" s="5">
        <v>5</v>
      </c>
      <c r="BD75" s="11">
        <v>72</v>
      </c>
      <c r="BE75" s="11">
        <v>50</v>
      </c>
      <c r="BF75" s="11">
        <v>5</v>
      </c>
      <c r="BG75" s="11">
        <v>5</v>
      </c>
      <c r="BH75" s="11">
        <v>6</v>
      </c>
    </row>
    <row r="76" spans="47:60" x14ac:dyDescent="0.25">
      <c r="AU76" s="12">
        <v>73</v>
      </c>
      <c r="AV76" s="54" t="s">
        <v>146</v>
      </c>
      <c r="AW76" s="55">
        <v>93</v>
      </c>
      <c r="AX76" s="108">
        <v>2</v>
      </c>
      <c r="AZ76" s="130">
        <v>73</v>
      </c>
      <c r="BA76" s="5">
        <v>4</v>
      </c>
      <c r="BB76" s="5">
        <v>4</v>
      </c>
      <c r="BD76" s="11">
        <v>73</v>
      </c>
      <c r="BE76" s="11">
        <v>51</v>
      </c>
      <c r="BF76" s="11">
        <v>5</v>
      </c>
      <c r="BG76" s="11">
        <v>4</v>
      </c>
      <c r="BH76" s="11">
        <v>6</v>
      </c>
    </row>
    <row r="77" spans="47:60" x14ac:dyDescent="0.25">
      <c r="AU77" s="12">
        <v>74</v>
      </c>
      <c r="AV77" s="54" t="s">
        <v>147</v>
      </c>
      <c r="AW77" s="55">
        <v>61</v>
      </c>
      <c r="AX77" s="108">
        <v>2</v>
      </c>
      <c r="AZ77" s="130">
        <v>74</v>
      </c>
      <c r="BA77" s="5">
        <v>3</v>
      </c>
      <c r="BB77" s="5">
        <v>3</v>
      </c>
      <c r="BD77" s="11">
        <v>74</v>
      </c>
      <c r="BE77" s="11">
        <v>51</v>
      </c>
      <c r="BF77" s="11">
        <v>6</v>
      </c>
      <c r="BG77" s="11">
        <v>4</v>
      </c>
      <c r="BH77" s="11">
        <v>6</v>
      </c>
    </row>
    <row r="78" spans="47:60" x14ac:dyDescent="0.25">
      <c r="AU78" s="12">
        <v>75</v>
      </c>
      <c r="AV78" s="54" t="s">
        <v>148</v>
      </c>
      <c r="AW78" s="55">
        <v>66</v>
      </c>
      <c r="AX78" s="108">
        <v>2</v>
      </c>
      <c r="AZ78" s="130">
        <v>75</v>
      </c>
      <c r="BA78" s="5">
        <v>6</v>
      </c>
      <c r="BB78" s="5">
        <v>1</v>
      </c>
      <c r="BD78" s="11">
        <v>75</v>
      </c>
      <c r="BE78" s="11">
        <v>52</v>
      </c>
      <c r="BF78" s="11">
        <v>5</v>
      </c>
      <c r="BG78" s="11">
        <v>3</v>
      </c>
      <c r="BH78" s="11">
        <v>1</v>
      </c>
    </row>
    <row r="79" spans="47:60" x14ac:dyDescent="0.25">
      <c r="AU79" s="12">
        <v>76</v>
      </c>
      <c r="AV79" s="54" t="s">
        <v>149</v>
      </c>
      <c r="AW79" s="55">
        <v>65</v>
      </c>
      <c r="AX79" s="108">
        <v>2</v>
      </c>
      <c r="AZ79" s="130">
        <v>76</v>
      </c>
      <c r="BA79" s="5">
        <v>2</v>
      </c>
      <c r="BB79" s="5">
        <v>6</v>
      </c>
      <c r="BD79" s="11">
        <v>76</v>
      </c>
      <c r="BE79" s="11">
        <v>53</v>
      </c>
      <c r="BF79" s="11">
        <v>5</v>
      </c>
      <c r="BG79" s="11">
        <v>8</v>
      </c>
      <c r="BH79" s="11">
        <v>3</v>
      </c>
    </row>
    <row r="80" spans="47:60" x14ac:dyDescent="0.25">
      <c r="AU80" s="12">
        <v>77</v>
      </c>
      <c r="AV80" s="54" t="s">
        <v>150</v>
      </c>
      <c r="AW80" s="55">
        <v>26</v>
      </c>
      <c r="AX80" s="108">
        <v>2</v>
      </c>
      <c r="AZ80" s="130">
        <v>77</v>
      </c>
      <c r="BA80" s="5">
        <v>5</v>
      </c>
      <c r="BB80" s="5">
        <v>3</v>
      </c>
      <c r="BD80" s="11">
        <v>77</v>
      </c>
      <c r="BE80" s="11">
        <v>54</v>
      </c>
      <c r="BF80" s="11">
        <v>2</v>
      </c>
      <c r="BG80" s="11">
        <v>2</v>
      </c>
      <c r="BH80" s="11">
        <v>4</v>
      </c>
    </row>
    <row r="81" spans="47:60" x14ac:dyDescent="0.25">
      <c r="AU81" s="12">
        <v>78</v>
      </c>
      <c r="AV81" s="54" t="s">
        <v>151</v>
      </c>
      <c r="AW81" s="55">
        <v>27</v>
      </c>
      <c r="AX81" s="108">
        <v>2</v>
      </c>
      <c r="AZ81" s="130">
        <v>78</v>
      </c>
      <c r="BA81" s="5">
        <v>1</v>
      </c>
      <c r="BB81" s="5">
        <v>6</v>
      </c>
      <c r="BD81" s="11">
        <v>78</v>
      </c>
      <c r="BE81" s="11">
        <v>54</v>
      </c>
      <c r="BF81" s="11">
        <v>3</v>
      </c>
      <c r="BG81" s="11">
        <v>2</v>
      </c>
      <c r="BH81" s="11">
        <v>4</v>
      </c>
    </row>
    <row r="82" spans="47:60" x14ac:dyDescent="0.25">
      <c r="AU82" s="12">
        <v>79</v>
      </c>
      <c r="AV82" s="54" t="s">
        <v>152</v>
      </c>
      <c r="AW82" s="55">
        <v>28</v>
      </c>
      <c r="AX82" s="108">
        <v>2</v>
      </c>
      <c r="AZ82" s="130">
        <v>79</v>
      </c>
      <c r="BA82" s="5">
        <v>7</v>
      </c>
      <c r="BB82" s="5">
        <v>7</v>
      </c>
      <c r="BD82" s="11">
        <v>79</v>
      </c>
      <c r="BE82" s="11">
        <v>55</v>
      </c>
      <c r="BF82" s="11">
        <v>5</v>
      </c>
      <c r="BG82" s="11">
        <v>7</v>
      </c>
      <c r="BH82" s="11">
        <v>1</v>
      </c>
    </row>
    <row r="83" spans="47:60" x14ac:dyDescent="0.25">
      <c r="AU83" s="12">
        <v>80</v>
      </c>
      <c r="AV83" s="54" t="s">
        <v>153</v>
      </c>
      <c r="AW83" s="55">
        <v>26</v>
      </c>
      <c r="AX83" s="108">
        <v>2</v>
      </c>
      <c r="AZ83" s="130">
        <v>80</v>
      </c>
      <c r="BA83" s="5">
        <v>2</v>
      </c>
      <c r="BB83" s="5">
        <v>7</v>
      </c>
      <c r="BD83" s="11">
        <v>80</v>
      </c>
      <c r="BE83" s="11">
        <v>56</v>
      </c>
      <c r="BF83" s="11">
        <v>1</v>
      </c>
      <c r="BG83" s="11">
        <v>4</v>
      </c>
      <c r="BH83" s="11">
        <v>5</v>
      </c>
    </row>
    <row r="84" spans="47:60" x14ac:dyDescent="0.25">
      <c r="AU84" s="12">
        <v>81</v>
      </c>
      <c r="AV84" s="54" t="s">
        <v>154</v>
      </c>
      <c r="AW84" s="55">
        <v>26</v>
      </c>
      <c r="AX84" s="108">
        <v>2</v>
      </c>
      <c r="AZ84" s="130">
        <v>81</v>
      </c>
      <c r="BA84" s="5">
        <v>7</v>
      </c>
      <c r="BB84" s="5">
        <v>4</v>
      </c>
      <c r="BD84" s="11">
        <v>81</v>
      </c>
      <c r="BE84" s="11">
        <v>56</v>
      </c>
      <c r="BF84" s="11">
        <v>4</v>
      </c>
      <c r="BG84" s="11">
        <v>4</v>
      </c>
      <c r="BH84" s="11">
        <v>5</v>
      </c>
    </row>
    <row r="85" spans="47:60" x14ac:dyDescent="0.25">
      <c r="AU85" s="12">
        <v>82</v>
      </c>
      <c r="AV85" s="56" t="s">
        <v>155</v>
      </c>
      <c r="AW85" s="57">
        <v>89</v>
      </c>
      <c r="AX85" s="108">
        <v>2</v>
      </c>
      <c r="AZ85" s="130">
        <v>82</v>
      </c>
      <c r="BA85" s="5">
        <v>2</v>
      </c>
      <c r="BB85" s="5">
        <v>2</v>
      </c>
      <c r="BD85" s="11">
        <v>82</v>
      </c>
      <c r="BE85" s="11">
        <v>57</v>
      </c>
      <c r="BF85" s="11">
        <v>2</v>
      </c>
      <c r="BG85" s="11">
        <v>4</v>
      </c>
      <c r="BH85" s="11">
        <v>7</v>
      </c>
    </row>
    <row r="86" spans="47:60" x14ac:dyDescent="0.25">
      <c r="AU86" s="12">
        <v>83</v>
      </c>
      <c r="AV86" s="56" t="s">
        <v>156</v>
      </c>
      <c r="AW86" s="57">
        <v>67</v>
      </c>
      <c r="AX86" s="108">
        <v>1</v>
      </c>
      <c r="AZ86" s="130">
        <v>83</v>
      </c>
      <c r="BA86" s="5">
        <v>8</v>
      </c>
      <c r="BB86" s="5">
        <v>3</v>
      </c>
      <c r="BD86" s="11">
        <v>83</v>
      </c>
      <c r="BE86" s="11">
        <v>57</v>
      </c>
      <c r="BF86" s="11">
        <v>3</v>
      </c>
      <c r="BG86" s="11">
        <v>4</v>
      </c>
      <c r="BH86" s="11">
        <v>7</v>
      </c>
    </row>
    <row r="87" spans="47:60" x14ac:dyDescent="0.25">
      <c r="AU87" s="12">
        <v>84</v>
      </c>
      <c r="AV87" s="58" t="s">
        <v>157</v>
      </c>
      <c r="AW87" s="57">
        <v>67</v>
      </c>
      <c r="AX87" s="108">
        <v>1</v>
      </c>
      <c r="AZ87" s="130">
        <v>84</v>
      </c>
      <c r="BA87" s="5">
        <v>6</v>
      </c>
      <c r="BB87" s="5">
        <v>6</v>
      </c>
      <c r="BD87" s="11">
        <v>84</v>
      </c>
      <c r="BE87" s="11">
        <v>57</v>
      </c>
      <c r="BF87" s="11">
        <v>4</v>
      </c>
      <c r="BG87" s="11">
        <v>4</v>
      </c>
      <c r="BH87" s="11">
        <v>7</v>
      </c>
    </row>
    <row r="88" spans="47:60" x14ac:dyDescent="0.25">
      <c r="AU88" s="12">
        <v>85</v>
      </c>
      <c r="AV88" s="58" t="s">
        <v>158</v>
      </c>
      <c r="AW88" s="57">
        <v>77</v>
      </c>
      <c r="AX88" s="108">
        <v>1</v>
      </c>
      <c r="AZ88" s="130">
        <v>85</v>
      </c>
      <c r="BA88" s="5">
        <v>5</v>
      </c>
      <c r="BB88" s="5">
        <v>6</v>
      </c>
      <c r="BD88" s="11">
        <v>85</v>
      </c>
      <c r="BE88" s="11">
        <v>58</v>
      </c>
      <c r="BF88" s="11">
        <v>2</v>
      </c>
      <c r="BG88" s="11">
        <v>1</v>
      </c>
      <c r="BH88" s="11">
        <v>7</v>
      </c>
    </row>
    <row r="89" spans="47:60" x14ac:dyDescent="0.25">
      <c r="AU89" s="12">
        <v>86</v>
      </c>
      <c r="AV89" s="56" t="s">
        <v>159</v>
      </c>
      <c r="AW89" s="57">
        <v>113</v>
      </c>
      <c r="AX89" s="108">
        <v>2</v>
      </c>
      <c r="AZ89" s="130">
        <v>86</v>
      </c>
      <c r="BA89" s="5">
        <v>6</v>
      </c>
      <c r="BB89" s="5">
        <v>4</v>
      </c>
      <c r="BD89" s="11">
        <v>86</v>
      </c>
      <c r="BE89" s="11">
        <v>59</v>
      </c>
      <c r="BF89" s="11">
        <v>1</v>
      </c>
      <c r="BG89" s="11">
        <v>1</v>
      </c>
      <c r="BH89" s="11">
        <v>7</v>
      </c>
    </row>
    <row r="90" spans="47:60" x14ac:dyDescent="0.25">
      <c r="AU90" s="12">
        <v>87</v>
      </c>
      <c r="AV90" s="58" t="s">
        <v>160</v>
      </c>
      <c r="AW90" s="57">
        <v>35</v>
      </c>
      <c r="AX90" s="108">
        <v>1</v>
      </c>
      <c r="AZ90" s="130">
        <v>87</v>
      </c>
      <c r="BA90" s="5">
        <v>4</v>
      </c>
      <c r="BB90" s="5">
        <v>1</v>
      </c>
      <c r="BD90" s="11">
        <v>87</v>
      </c>
      <c r="BE90" s="11">
        <v>60</v>
      </c>
      <c r="BF90" s="11">
        <v>12</v>
      </c>
      <c r="BG90" s="11">
        <v>3</v>
      </c>
      <c r="BH90" s="11">
        <v>4</v>
      </c>
    </row>
    <row r="91" spans="47:60" x14ac:dyDescent="0.25">
      <c r="AU91" s="12">
        <v>88</v>
      </c>
      <c r="AV91" s="56" t="s">
        <v>161</v>
      </c>
      <c r="AW91" s="57">
        <v>49</v>
      </c>
      <c r="AX91" s="108">
        <v>1</v>
      </c>
      <c r="AZ91" s="130">
        <v>88</v>
      </c>
      <c r="BA91" s="5">
        <v>3</v>
      </c>
      <c r="BB91" s="5">
        <v>5</v>
      </c>
      <c r="BD91" s="11">
        <v>88</v>
      </c>
      <c r="BE91" s="11">
        <v>60</v>
      </c>
      <c r="BF91" s="11">
        <v>14</v>
      </c>
      <c r="BG91" s="11">
        <v>3</v>
      </c>
      <c r="BH91" s="11">
        <v>4</v>
      </c>
    </row>
    <row r="92" spans="47:60" x14ac:dyDescent="0.25">
      <c r="AU92" s="12">
        <v>89</v>
      </c>
      <c r="AV92" s="58" t="s">
        <v>162</v>
      </c>
      <c r="AW92" s="57">
        <v>75</v>
      </c>
      <c r="AX92" s="108">
        <v>1</v>
      </c>
      <c r="AZ92" s="130">
        <v>89</v>
      </c>
      <c r="BA92" s="5">
        <v>5</v>
      </c>
      <c r="BB92" s="5">
        <v>5</v>
      </c>
      <c r="BD92" s="11">
        <v>89</v>
      </c>
      <c r="BE92" s="11">
        <v>61</v>
      </c>
      <c r="BF92" s="11">
        <v>13</v>
      </c>
      <c r="BG92" s="11">
        <v>5</v>
      </c>
      <c r="BH92" s="11">
        <v>1</v>
      </c>
    </row>
    <row r="93" spans="47:60" x14ac:dyDescent="0.25">
      <c r="AU93" s="12">
        <v>90</v>
      </c>
      <c r="AV93" s="56" t="s">
        <v>163</v>
      </c>
      <c r="AW93" s="57">
        <v>98</v>
      </c>
      <c r="AX93" s="108">
        <v>2</v>
      </c>
      <c r="AZ93" s="130">
        <v>90</v>
      </c>
      <c r="BA93" s="5">
        <v>4</v>
      </c>
      <c r="BB93" s="5">
        <v>6</v>
      </c>
      <c r="BD93" s="11">
        <v>90</v>
      </c>
      <c r="BE93" s="11">
        <v>61</v>
      </c>
      <c r="BF93" s="11">
        <v>15</v>
      </c>
      <c r="BG93" s="11">
        <v>5</v>
      </c>
      <c r="BH93" s="11">
        <v>1</v>
      </c>
    </row>
    <row r="94" spans="47:60" x14ac:dyDescent="0.25">
      <c r="AU94" s="12">
        <v>91</v>
      </c>
      <c r="AV94" s="58" t="s">
        <v>164</v>
      </c>
      <c r="AW94" s="57">
        <v>109</v>
      </c>
      <c r="AX94" s="108">
        <v>2</v>
      </c>
      <c r="AZ94" s="130">
        <v>91</v>
      </c>
      <c r="BA94" s="5">
        <v>4</v>
      </c>
      <c r="BB94" s="5">
        <v>2</v>
      </c>
      <c r="BD94" s="11">
        <v>91</v>
      </c>
      <c r="BE94" s="11">
        <v>62</v>
      </c>
      <c r="BF94" s="11">
        <v>14</v>
      </c>
      <c r="BG94" s="11">
        <v>1</v>
      </c>
      <c r="BH94" s="11">
        <v>3</v>
      </c>
    </row>
    <row r="95" spans="47:60" x14ac:dyDescent="0.25">
      <c r="AU95" s="12">
        <v>92</v>
      </c>
      <c r="AV95" s="56" t="s">
        <v>165</v>
      </c>
      <c r="AW95" s="57">
        <v>29</v>
      </c>
      <c r="AX95" s="108">
        <v>2</v>
      </c>
      <c r="AZ95" s="130">
        <v>92</v>
      </c>
      <c r="BA95" s="5">
        <v>3</v>
      </c>
      <c r="BB95" s="5">
        <v>3</v>
      </c>
      <c r="BD95" s="11">
        <v>92</v>
      </c>
      <c r="BE95" s="11">
        <v>62</v>
      </c>
      <c r="BF95" s="11">
        <v>15</v>
      </c>
      <c r="BG95" s="11">
        <v>1</v>
      </c>
      <c r="BH95" s="11">
        <v>3</v>
      </c>
    </row>
    <row r="96" spans="47:60" x14ac:dyDescent="0.25">
      <c r="AU96" s="12">
        <v>93</v>
      </c>
      <c r="AV96" s="58" t="s">
        <v>166</v>
      </c>
      <c r="AW96" s="57">
        <v>39</v>
      </c>
      <c r="AX96" s="108">
        <v>1</v>
      </c>
      <c r="AZ96" s="130">
        <v>93</v>
      </c>
      <c r="BA96" s="5">
        <v>5</v>
      </c>
      <c r="BB96" s="5">
        <v>7</v>
      </c>
      <c r="BD96" s="11">
        <v>93</v>
      </c>
      <c r="BE96" s="11">
        <v>63</v>
      </c>
      <c r="BF96" s="11">
        <v>14</v>
      </c>
      <c r="BG96" s="11">
        <v>3</v>
      </c>
      <c r="BH96" s="11">
        <v>2</v>
      </c>
    </row>
    <row r="97" spans="47:60" x14ac:dyDescent="0.25">
      <c r="AU97" s="12">
        <v>94</v>
      </c>
      <c r="AV97" s="56" t="s">
        <v>167</v>
      </c>
      <c r="AW97" s="57">
        <v>30</v>
      </c>
      <c r="AX97" s="108">
        <v>2</v>
      </c>
      <c r="AZ97" s="130">
        <v>94</v>
      </c>
      <c r="BA97" s="5">
        <v>2</v>
      </c>
      <c r="BB97" s="5">
        <v>1</v>
      </c>
      <c r="BD97" s="11">
        <v>94</v>
      </c>
      <c r="BE97" s="11">
        <v>63</v>
      </c>
      <c r="BF97" s="11">
        <v>15</v>
      </c>
      <c r="BG97" s="11">
        <v>3</v>
      </c>
      <c r="BH97" s="11">
        <v>2</v>
      </c>
    </row>
    <row r="98" spans="47:60" x14ac:dyDescent="0.25">
      <c r="AU98" s="12">
        <v>95</v>
      </c>
      <c r="AV98" s="58" t="s">
        <v>168</v>
      </c>
      <c r="AW98" s="57">
        <v>26</v>
      </c>
      <c r="AX98" s="108">
        <v>2</v>
      </c>
      <c r="AZ98" s="130">
        <v>95</v>
      </c>
      <c r="BA98" s="5">
        <v>3</v>
      </c>
      <c r="BB98" s="5">
        <v>2</v>
      </c>
      <c r="BD98" s="11">
        <v>95</v>
      </c>
      <c r="BE98" s="11">
        <v>64</v>
      </c>
      <c r="BF98" s="11">
        <v>3</v>
      </c>
      <c r="BG98" s="11">
        <v>6</v>
      </c>
      <c r="BH98" s="11">
        <v>2</v>
      </c>
    </row>
    <row r="99" spans="47:60" x14ac:dyDescent="0.25">
      <c r="AU99" s="12">
        <v>96</v>
      </c>
      <c r="AV99" s="56" t="s">
        <v>169</v>
      </c>
      <c r="AW99" s="57">
        <v>26</v>
      </c>
      <c r="AX99" s="108">
        <v>2</v>
      </c>
      <c r="AZ99" s="130">
        <v>96</v>
      </c>
      <c r="BA99" s="5">
        <v>7</v>
      </c>
      <c r="BB99" s="5">
        <v>5</v>
      </c>
      <c r="BD99" s="11">
        <v>96</v>
      </c>
      <c r="BE99" s="11">
        <v>64</v>
      </c>
      <c r="BF99" s="11">
        <v>4</v>
      </c>
      <c r="BG99" s="11">
        <v>6</v>
      </c>
      <c r="BH99" s="11">
        <v>2</v>
      </c>
    </row>
    <row r="100" spans="47:60" x14ac:dyDescent="0.25">
      <c r="AU100" s="12">
        <v>97</v>
      </c>
      <c r="AV100" s="58" t="s">
        <v>170</v>
      </c>
      <c r="AW100" s="57">
        <v>41</v>
      </c>
      <c r="AX100" s="108">
        <v>2</v>
      </c>
      <c r="AZ100" s="130">
        <v>97</v>
      </c>
      <c r="BA100" s="5">
        <v>6</v>
      </c>
      <c r="BB100" s="5">
        <v>7</v>
      </c>
      <c r="BD100" s="11">
        <v>97</v>
      </c>
      <c r="BE100" s="11">
        <v>65</v>
      </c>
      <c r="BF100" s="11">
        <v>4</v>
      </c>
      <c r="BG100" s="11">
        <v>5</v>
      </c>
      <c r="BH100" s="11">
        <v>4</v>
      </c>
    </row>
    <row r="101" spans="47:60" x14ac:dyDescent="0.25">
      <c r="AU101" s="12">
        <v>98</v>
      </c>
      <c r="AV101" s="56" t="s">
        <v>171</v>
      </c>
      <c r="AW101" s="57">
        <v>28</v>
      </c>
      <c r="AX101" s="108">
        <v>2</v>
      </c>
      <c r="AZ101" s="130">
        <v>98</v>
      </c>
      <c r="BA101" s="5">
        <v>3</v>
      </c>
      <c r="BB101" s="5">
        <v>4</v>
      </c>
      <c r="BD101" s="11">
        <v>98</v>
      </c>
      <c r="BE101" s="11">
        <v>66</v>
      </c>
      <c r="BF101" s="11">
        <v>4</v>
      </c>
      <c r="BG101" s="11">
        <v>6</v>
      </c>
      <c r="BH101" s="11">
        <v>7</v>
      </c>
    </row>
    <row r="102" spans="47:60" x14ac:dyDescent="0.25">
      <c r="AU102" s="12">
        <v>99</v>
      </c>
      <c r="AV102" s="58" t="s">
        <v>172</v>
      </c>
      <c r="AW102" s="57">
        <v>33</v>
      </c>
      <c r="AX102" s="108">
        <v>1</v>
      </c>
      <c r="AZ102" s="130">
        <v>99</v>
      </c>
      <c r="BA102" s="5">
        <v>5</v>
      </c>
      <c r="BB102" s="5">
        <v>2</v>
      </c>
      <c r="BD102" s="11">
        <v>99</v>
      </c>
      <c r="BE102" s="11">
        <v>67</v>
      </c>
      <c r="BF102" s="11">
        <v>1</v>
      </c>
      <c r="BG102" s="11">
        <v>3</v>
      </c>
      <c r="BH102" s="11">
        <v>5</v>
      </c>
    </row>
    <row r="103" spans="47:60" x14ac:dyDescent="0.25">
      <c r="AU103" s="12">
        <v>100</v>
      </c>
      <c r="AV103" s="56" t="s">
        <v>173</v>
      </c>
      <c r="AW103" s="57">
        <v>31</v>
      </c>
      <c r="AX103" s="108">
        <v>2</v>
      </c>
      <c r="AZ103" s="130">
        <v>100</v>
      </c>
      <c r="BA103" s="5">
        <v>8</v>
      </c>
      <c r="BB103" s="5">
        <v>6</v>
      </c>
      <c r="BD103" s="11">
        <v>100</v>
      </c>
      <c r="BE103" s="11">
        <v>67</v>
      </c>
      <c r="BF103" s="11">
        <v>5</v>
      </c>
      <c r="BG103" s="11">
        <v>3</v>
      </c>
      <c r="BH103" s="11">
        <v>5</v>
      </c>
    </row>
    <row r="104" spans="47:60" x14ac:dyDescent="0.25">
      <c r="AU104" s="12">
        <v>101</v>
      </c>
      <c r="AV104" s="56" t="s">
        <v>174</v>
      </c>
      <c r="AW104" s="57">
        <v>29</v>
      </c>
      <c r="AX104" s="108">
        <v>1</v>
      </c>
      <c r="AZ104" s="130">
        <v>101</v>
      </c>
      <c r="BA104" s="5">
        <v>1</v>
      </c>
      <c r="BB104" s="5">
        <v>2</v>
      </c>
      <c r="BD104" s="11">
        <v>101</v>
      </c>
      <c r="BE104" s="11">
        <v>68</v>
      </c>
      <c r="BF104" s="11">
        <v>4</v>
      </c>
      <c r="BG104" s="11">
        <v>5</v>
      </c>
      <c r="BH104" s="11">
        <v>7</v>
      </c>
    </row>
    <row r="105" spans="47:60" x14ac:dyDescent="0.25">
      <c r="AU105" s="12">
        <v>102</v>
      </c>
      <c r="AV105" s="58" t="s">
        <v>175</v>
      </c>
      <c r="AW105" s="57">
        <v>33</v>
      </c>
      <c r="AX105" s="108">
        <v>2</v>
      </c>
      <c r="AZ105" s="130">
        <v>102</v>
      </c>
      <c r="BA105" s="5">
        <v>7</v>
      </c>
      <c r="BB105" s="5">
        <v>3</v>
      </c>
      <c r="BD105" s="11">
        <v>102</v>
      </c>
      <c r="BE105" s="11">
        <v>69</v>
      </c>
      <c r="BF105" s="11">
        <v>5</v>
      </c>
      <c r="BG105" s="11">
        <v>3</v>
      </c>
      <c r="BH105" s="11">
        <v>7</v>
      </c>
    </row>
    <row r="106" spans="47:60" x14ac:dyDescent="0.25">
      <c r="AU106" s="12">
        <v>103</v>
      </c>
      <c r="AV106" s="59" t="s">
        <v>176</v>
      </c>
      <c r="AW106" s="44">
        <v>94</v>
      </c>
      <c r="AX106" s="108">
        <v>1</v>
      </c>
      <c r="AZ106" s="130">
        <v>103</v>
      </c>
      <c r="BA106" s="5">
        <v>6</v>
      </c>
      <c r="BB106" s="5">
        <v>7</v>
      </c>
      <c r="BD106" s="11">
        <v>103</v>
      </c>
      <c r="BE106" s="11">
        <v>69</v>
      </c>
      <c r="BF106" s="11">
        <v>7</v>
      </c>
      <c r="BG106" s="11">
        <v>3</v>
      </c>
      <c r="BH106" s="11">
        <v>7</v>
      </c>
    </row>
    <row r="107" spans="47:60" x14ac:dyDescent="0.25">
      <c r="AU107" s="12">
        <v>104</v>
      </c>
      <c r="AV107" s="59" t="s">
        <v>177</v>
      </c>
      <c r="AW107" s="44">
        <v>87</v>
      </c>
      <c r="AX107" s="108">
        <v>1</v>
      </c>
      <c r="AZ107" s="130">
        <v>104</v>
      </c>
      <c r="BA107" s="5">
        <v>5</v>
      </c>
      <c r="BB107" s="5">
        <v>7</v>
      </c>
      <c r="BD107" s="11">
        <v>104</v>
      </c>
      <c r="BE107" s="11">
        <v>70</v>
      </c>
      <c r="BF107" s="11">
        <v>1</v>
      </c>
      <c r="BG107" s="11">
        <v>8</v>
      </c>
      <c r="BH107" s="11">
        <v>7</v>
      </c>
    </row>
    <row r="108" spans="47:60" x14ac:dyDescent="0.25">
      <c r="AU108" s="12">
        <v>105</v>
      </c>
      <c r="AV108" s="59" t="s">
        <v>178</v>
      </c>
      <c r="AW108" s="44">
        <v>76</v>
      </c>
      <c r="AX108" s="108">
        <v>1</v>
      </c>
      <c r="AZ108" s="130">
        <v>105</v>
      </c>
      <c r="BA108" s="5">
        <v>4</v>
      </c>
      <c r="BB108" s="5">
        <v>7</v>
      </c>
      <c r="BD108" s="11">
        <v>105</v>
      </c>
      <c r="BE108" s="11">
        <v>70</v>
      </c>
      <c r="BF108" s="11">
        <v>5</v>
      </c>
      <c r="BG108" s="11">
        <v>8</v>
      </c>
      <c r="BH108" s="11">
        <v>7</v>
      </c>
    </row>
    <row r="109" spans="47:60" x14ac:dyDescent="0.25">
      <c r="AU109" s="12">
        <v>106</v>
      </c>
      <c r="AV109" s="60" t="s">
        <v>179</v>
      </c>
      <c r="AW109" s="44">
        <v>101</v>
      </c>
      <c r="AX109" s="108">
        <v>2</v>
      </c>
      <c r="AZ109" s="130">
        <v>106</v>
      </c>
      <c r="BA109" s="5">
        <v>8</v>
      </c>
      <c r="BB109" s="5">
        <v>6</v>
      </c>
      <c r="BD109" s="11">
        <v>106</v>
      </c>
      <c r="BE109" s="11">
        <v>71</v>
      </c>
      <c r="BF109" s="11">
        <v>1</v>
      </c>
      <c r="BG109" s="11">
        <v>5</v>
      </c>
      <c r="BH109" s="11">
        <v>5</v>
      </c>
    </row>
    <row r="110" spans="47:60" x14ac:dyDescent="0.25">
      <c r="AU110" s="12">
        <v>107</v>
      </c>
      <c r="AV110" s="59" t="s">
        <v>180</v>
      </c>
      <c r="AW110" s="44">
        <v>89</v>
      </c>
      <c r="AX110" s="108">
        <v>1</v>
      </c>
      <c r="AZ110" s="130">
        <v>107</v>
      </c>
      <c r="BA110" s="5">
        <v>8</v>
      </c>
      <c r="BB110" s="5">
        <v>7</v>
      </c>
      <c r="BD110" s="11">
        <v>107</v>
      </c>
      <c r="BE110" s="11">
        <v>71</v>
      </c>
      <c r="BF110" s="11">
        <v>2</v>
      </c>
      <c r="BG110" s="11">
        <v>5</v>
      </c>
      <c r="BH110" s="11">
        <v>5</v>
      </c>
    </row>
    <row r="111" spans="47:60" x14ac:dyDescent="0.25">
      <c r="AU111" s="12">
        <v>108</v>
      </c>
      <c r="AV111" s="60" t="s">
        <v>181</v>
      </c>
      <c r="AW111" s="44">
        <v>92</v>
      </c>
      <c r="AX111" s="108">
        <v>2</v>
      </c>
      <c r="AZ111" s="130">
        <v>108</v>
      </c>
      <c r="BA111" s="5">
        <v>1</v>
      </c>
      <c r="BB111" s="5">
        <v>5</v>
      </c>
      <c r="BD111" s="11">
        <v>108</v>
      </c>
      <c r="BE111" s="11">
        <v>71</v>
      </c>
      <c r="BF111" s="11">
        <v>4</v>
      </c>
      <c r="BG111" s="11">
        <v>5</v>
      </c>
      <c r="BH111" s="11">
        <v>5</v>
      </c>
    </row>
    <row r="112" spans="47:60" x14ac:dyDescent="0.25">
      <c r="AU112" s="12">
        <v>109</v>
      </c>
      <c r="AV112" s="59" t="s">
        <v>182</v>
      </c>
      <c r="AW112" s="44">
        <v>97</v>
      </c>
      <c r="AX112" s="108">
        <v>2</v>
      </c>
      <c r="AZ112" s="130">
        <v>109</v>
      </c>
      <c r="BA112" s="5">
        <v>2</v>
      </c>
      <c r="BB112" s="5">
        <v>6</v>
      </c>
      <c r="BD112" s="11">
        <v>109</v>
      </c>
      <c r="BE112" s="11">
        <v>72</v>
      </c>
      <c r="BF112" s="11">
        <v>1</v>
      </c>
      <c r="BG112" s="11">
        <v>4</v>
      </c>
      <c r="BH112" s="11">
        <v>4</v>
      </c>
    </row>
    <row r="113" spans="47:60" x14ac:dyDescent="0.25">
      <c r="AU113" s="12">
        <v>110</v>
      </c>
      <c r="AV113" s="60" t="s">
        <v>183</v>
      </c>
      <c r="AW113" s="44">
        <v>50</v>
      </c>
      <c r="AX113" s="108">
        <v>2</v>
      </c>
      <c r="AZ113" s="130">
        <v>110</v>
      </c>
      <c r="BA113" s="5">
        <v>5</v>
      </c>
      <c r="BB113" s="5">
        <v>3</v>
      </c>
      <c r="BD113" s="11">
        <v>110</v>
      </c>
      <c r="BE113" s="11">
        <v>72</v>
      </c>
      <c r="BF113" s="11">
        <v>4</v>
      </c>
      <c r="BG113" s="11">
        <v>4</v>
      </c>
      <c r="BH113" s="11">
        <v>4</v>
      </c>
    </row>
    <row r="114" spans="47:60" x14ac:dyDescent="0.25">
      <c r="AU114" s="12">
        <v>111</v>
      </c>
      <c r="AV114" s="60" t="s">
        <v>184</v>
      </c>
      <c r="AW114" s="44">
        <v>36</v>
      </c>
      <c r="AX114" s="108">
        <v>2</v>
      </c>
      <c r="AZ114" s="130">
        <v>111</v>
      </c>
      <c r="BA114" s="5">
        <v>2</v>
      </c>
      <c r="BB114" s="5">
        <v>5</v>
      </c>
      <c r="BD114" s="11">
        <v>111</v>
      </c>
      <c r="BE114" s="11">
        <v>72</v>
      </c>
      <c r="BF114" s="11">
        <v>5</v>
      </c>
      <c r="BG114" s="11">
        <v>4</v>
      </c>
      <c r="BH114" s="11">
        <v>4</v>
      </c>
    </row>
    <row r="115" spans="47:60" x14ac:dyDescent="0.25">
      <c r="AU115" s="12">
        <v>112</v>
      </c>
      <c r="AV115" s="59" t="s">
        <v>185</v>
      </c>
      <c r="AW115" s="44">
        <v>44</v>
      </c>
      <c r="AX115" s="108">
        <v>2</v>
      </c>
      <c r="AZ115" s="130">
        <v>112</v>
      </c>
      <c r="BA115" s="5">
        <v>2</v>
      </c>
      <c r="BB115" s="5">
        <v>3</v>
      </c>
      <c r="BD115" s="11">
        <v>112</v>
      </c>
      <c r="BE115" s="11">
        <v>73</v>
      </c>
      <c r="BF115" s="11">
        <v>2</v>
      </c>
      <c r="BG115" s="11">
        <v>3</v>
      </c>
      <c r="BH115" s="11">
        <v>3</v>
      </c>
    </row>
    <row r="116" spans="47:60" x14ac:dyDescent="0.25">
      <c r="AU116" s="12">
        <v>113</v>
      </c>
      <c r="AV116" s="60" t="s">
        <v>186</v>
      </c>
      <c r="AW116" s="44">
        <v>46</v>
      </c>
      <c r="AX116" s="108">
        <v>1</v>
      </c>
      <c r="AZ116" s="130">
        <v>113</v>
      </c>
      <c r="BA116" s="5">
        <v>1</v>
      </c>
      <c r="BB116" s="5">
        <v>1</v>
      </c>
      <c r="BD116" s="11">
        <v>113</v>
      </c>
      <c r="BE116" s="11">
        <v>73</v>
      </c>
      <c r="BF116" s="11">
        <v>4</v>
      </c>
      <c r="BG116" s="11">
        <v>3</v>
      </c>
      <c r="BH116" s="11">
        <v>3</v>
      </c>
    </row>
    <row r="117" spans="47:60" x14ac:dyDescent="0.25">
      <c r="AU117" s="12">
        <v>114</v>
      </c>
      <c r="AV117" s="59" t="s">
        <v>187</v>
      </c>
      <c r="AW117" s="44">
        <v>43</v>
      </c>
      <c r="AX117" s="108">
        <v>2</v>
      </c>
      <c r="AZ117" s="130">
        <v>114</v>
      </c>
      <c r="BA117" s="5">
        <v>6</v>
      </c>
      <c r="BB117" s="5">
        <v>6</v>
      </c>
      <c r="BD117" s="11">
        <v>114</v>
      </c>
      <c r="BE117" s="11">
        <v>74</v>
      </c>
      <c r="BF117" s="11">
        <v>1</v>
      </c>
      <c r="BG117" s="11">
        <v>6</v>
      </c>
      <c r="BH117" s="11">
        <v>1</v>
      </c>
    </row>
    <row r="118" spans="47:60" x14ac:dyDescent="0.25">
      <c r="AU118" s="12">
        <v>115</v>
      </c>
      <c r="AV118" s="60" t="s">
        <v>188</v>
      </c>
      <c r="AW118" s="44">
        <v>46</v>
      </c>
      <c r="AX118" s="108">
        <v>2</v>
      </c>
      <c r="AZ118" s="130">
        <v>115</v>
      </c>
      <c r="BA118" s="5">
        <v>6</v>
      </c>
      <c r="BB118" s="5">
        <v>3</v>
      </c>
      <c r="BD118" s="11">
        <v>115</v>
      </c>
      <c r="BE118" s="11">
        <v>75</v>
      </c>
      <c r="BF118" s="11">
        <v>1</v>
      </c>
      <c r="BG118" s="11">
        <v>2</v>
      </c>
      <c r="BH118" s="11">
        <v>6</v>
      </c>
    </row>
    <row r="119" spans="47:60" x14ac:dyDescent="0.25">
      <c r="AU119" s="12">
        <v>116</v>
      </c>
      <c r="AV119" s="59" t="s">
        <v>189</v>
      </c>
      <c r="AW119" s="44">
        <v>42</v>
      </c>
      <c r="AX119" s="108">
        <v>2</v>
      </c>
      <c r="AZ119" s="130">
        <v>116</v>
      </c>
      <c r="BA119" s="5">
        <v>3</v>
      </c>
      <c r="BB119" s="5">
        <v>7</v>
      </c>
      <c r="BD119" s="11">
        <v>116</v>
      </c>
      <c r="BE119" s="11">
        <v>76</v>
      </c>
      <c r="BF119" s="11">
        <v>3</v>
      </c>
      <c r="BG119" s="11">
        <v>5</v>
      </c>
      <c r="BH119" s="11">
        <v>3</v>
      </c>
    </row>
    <row r="120" spans="47:60" x14ac:dyDescent="0.25">
      <c r="AU120" s="12">
        <v>117</v>
      </c>
      <c r="AV120" s="61" t="s">
        <v>273</v>
      </c>
      <c r="AW120" s="44">
        <v>44</v>
      </c>
      <c r="AX120" s="108">
        <v>2</v>
      </c>
      <c r="AZ120" s="130">
        <v>117</v>
      </c>
      <c r="BA120" s="5">
        <v>3</v>
      </c>
      <c r="BB120" s="5">
        <v>3</v>
      </c>
      <c r="BD120" s="11">
        <v>117</v>
      </c>
      <c r="BE120" s="11">
        <v>77</v>
      </c>
      <c r="BF120" s="11">
        <v>1</v>
      </c>
      <c r="BG120" s="11">
        <v>1</v>
      </c>
      <c r="BH120" s="11">
        <v>6</v>
      </c>
    </row>
    <row r="121" spans="47:60" x14ac:dyDescent="0.25">
      <c r="AU121" s="12">
        <v>118</v>
      </c>
      <c r="AV121" s="59" t="s">
        <v>190</v>
      </c>
      <c r="AW121" s="44">
        <v>44</v>
      </c>
      <c r="AX121" s="108">
        <v>2</v>
      </c>
      <c r="AZ121" s="130">
        <v>118</v>
      </c>
      <c r="BA121" s="5">
        <v>7</v>
      </c>
      <c r="BB121" s="5">
        <v>1</v>
      </c>
      <c r="BD121" s="11">
        <v>118</v>
      </c>
      <c r="BE121" s="11">
        <v>78</v>
      </c>
      <c r="BF121" s="11">
        <v>4</v>
      </c>
      <c r="BG121" s="11">
        <v>7</v>
      </c>
      <c r="BH121" s="11">
        <v>7</v>
      </c>
    </row>
    <row r="122" spans="47:60" x14ac:dyDescent="0.25">
      <c r="AU122" s="12">
        <v>119</v>
      </c>
      <c r="AV122" s="60" t="s">
        <v>191</v>
      </c>
      <c r="AW122" s="44">
        <v>18</v>
      </c>
      <c r="AX122" s="108">
        <v>2</v>
      </c>
      <c r="AZ122" s="130">
        <v>119</v>
      </c>
      <c r="BA122" s="5">
        <v>1</v>
      </c>
      <c r="BB122" s="5">
        <v>2</v>
      </c>
      <c r="BD122" s="11">
        <v>119</v>
      </c>
      <c r="BE122" s="11">
        <v>79</v>
      </c>
      <c r="BF122" s="11">
        <v>2</v>
      </c>
      <c r="BG122" s="11">
        <v>2</v>
      </c>
      <c r="BH122" s="11">
        <v>7</v>
      </c>
    </row>
    <row r="123" spans="47:60" x14ac:dyDescent="0.25">
      <c r="AU123" s="12">
        <v>120</v>
      </c>
      <c r="AV123" s="60" t="s">
        <v>192</v>
      </c>
      <c r="AW123" s="44">
        <v>35</v>
      </c>
      <c r="AX123" s="108">
        <v>2</v>
      </c>
      <c r="AZ123" s="130">
        <v>120</v>
      </c>
      <c r="BA123" s="5">
        <v>4</v>
      </c>
      <c r="BB123" s="5">
        <v>2</v>
      </c>
      <c r="BD123" s="11">
        <v>120</v>
      </c>
      <c r="BE123" s="11">
        <v>80</v>
      </c>
      <c r="BF123" s="11">
        <v>2</v>
      </c>
      <c r="BG123" s="11">
        <v>7</v>
      </c>
      <c r="BH123" s="11">
        <v>4</v>
      </c>
    </row>
    <row r="124" spans="47:60" x14ac:dyDescent="0.25">
      <c r="AU124" s="12">
        <v>121</v>
      </c>
      <c r="AV124" s="60" t="s">
        <v>193</v>
      </c>
      <c r="AW124" s="44">
        <v>56</v>
      </c>
      <c r="AX124" s="108">
        <v>2</v>
      </c>
      <c r="AZ124" s="130">
        <v>121</v>
      </c>
      <c r="BA124" s="5">
        <v>6</v>
      </c>
      <c r="BB124" s="5">
        <v>2</v>
      </c>
      <c r="BD124" s="11">
        <v>121</v>
      </c>
      <c r="BE124" s="11">
        <v>81</v>
      </c>
      <c r="BF124" s="11">
        <v>4</v>
      </c>
      <c r="BG124" s="11">
        <v>2</v>
      </c>
      <c r="BH124" s="11">
        <v>2</v>
      </c>
    </row>
    <row r="125" spans="47:60" x14ac:dyDescent="0.25">
      <c r="AU125" s="12">
        <v>122</v>
      </c>
      <c r="AV125" s="60" t="s">
        <v>194</v>
      </c>
      <c r="AW125" s="44">
        <v>50</v>
      </c>
      <c r="AX125" s="108">
        <v>2</v>
      </c>
      <c r="AZ125" s="130">
        <v>122</v>
      </c>
      <c r="BA125" s="5">
        <v>5</v>
      </c>
      <c r="BB125" s="5">
        <v>2</v>
      </c>
      <c r="BD125" s="11">
        <v>122</v>
      </c>
      <c r="BE125" s="11">
        <v>82</v>
      </c>
      <c r="BF125" s="11">
        <v>1</v>
      </c>
      <c r="BG125" s="11">
        <v>8</v>
      </c>
      <c r="BH125" s="11">
        <v>3</v>
      </c>
    </row>
    <row r="126" spans="47:60" x14ac:dyDescent="0.25">
      <c r="AU126" s="12">
        <v>123</v>
      </c>
      <c r="AV126" s="60" t="s">
        <v>195</v>
      </c>
      <c r="AW126" s="44">
        <v>39</v>
      </c>
      <c r="AX126" s="108">
        <v>1</v>
      </c>
      <c r="AZ126" s="130">
        <v>123</v>
      </c>
      <c r="BA126" s="5">
        <v>2</v>
      </c>
      <c r="BB126" s="5">
        <v>2</v>
      </c>
      <c r="BD126" s="11">
        <v>123</v>
      </c>
      <c r="BE126" s="11">
        <v>82</v>
      </c>
      <c r="BF126" s="11">
        <v>2</v>
      </c>
      <c r="BG126" s="11">
        <v>8</v>
      </c>
      <c r="BH126" s="11">
        <v>3</v>
      </c>
    </row>
    <row r="127" spans="47:60" x14ac:dyDescent="0.25">
      <c r="AU127" s="12">
        <v>124</v>
      </c>
      <c r="AV127" s="60" t="s">
        <v>196</v>
      </c>
      <c r="AW127" s="44">
        <v>15</v>
      </c>
      <c r="AX127" s="108">
        <v>1</v>
      </c>
      <c r="AZ127" s="130">
        <v>124</v>
      </c>
      <c r="BA127" s="5">
        <v>5</v>
      </c>
      <c r="BB127" s="5">
        <v>5</v>
      </c>
      <c r="BD127" s="11">
        <v>124</v>
      </c>
      <c r="BE127" s="11">
        <v>83</v>
      </c>
      <c r="BF127" s="11">
        <v>1</v>
      </c>
      <c r="BG127" s="11">
        <v>6</v>
      </c>
      <c r="BH127" s="11">
        <v>6</v>
      </c>
    </row>
    <row r="128" spans="47:60" ht="15.75" x14ac:dyDescent="0.25">
      <c r="AU128" s="12">
        <v>125</v>
      </c>
      <c r="AV128" s="62" t="s">
        <v>197</v>
      </c>
      <c r="AW128" s="63">
        <v>70</v>
      </c>
      <c r="AX128" s="108">
        <v>1</v>
      </c>
      <c r="AZ128" s="130">
        <v>125</v>
      </c>
      <c r="BA128" s="5">
        <v>6</v>
      </c>
      <c r="BB128" s="5">
        <v>7</v>
      </c>
      <c r="BD128" s="11">
        <v>125</v>
      </c>
      <c r="BE128" s="11">
        <v>83</v>
      </c>
      <c r="BF128" s="11">
        <v>7</v>
      </c>
      <c r="BG128" s="11">
        <v>6</v>
      </c>
      <c r="BH128" s="11">
        <v>6</v>
      </c>
    </row>
    <row r="129" spans="47:60" ht="15.75" x14ac:dyDescent="0.25">
      <c r="AU129" s="12">
        <v>126</v>
      </c>
      <c r="AV129" s="64" t="s">
        <v>198</v>
      </c>
      <c r="AW129" s="63">
        <v>72</v>
      </c>
      <c r="AX129" s="108">
        <v>1</v>
      </c>
      <c r="AZ129" s="130">
        <v>126</v>
      </c>
      <c r="BA129" s="5">
        <v>6</v>
      </c>
      <c r="BB129" s="5">
        <v>7</v>
      </c>
      <c r="BD129" s="11">
        <v>126</v>
      </c>
      <c r="BE129" s="11">
        <v>84</v>
      </c>
      <c r="BF129" s="11">
        <v>1</v>
      </c>
      <c r="BG129" s="11">
        <v>5</v>
      </c>
      <c r="BH129" s="11">
        <v>6</v>
      </c>
    </row>
    <row r="130" spans="47:60" ht="15.75" x14ac:dyDescent="0.25">
      <c r="AU130" s="12">
        <v>127</v>
      </c>
      <c r="AV130" s="65" t="s">
        <v>199</v>
      </c>
      <c r="AW130" s="63">
        <v>67</v>
      </c>
      <c r="AX130" s="108">
        <v>1</v>
      </c>
      <c r="AZ130" s="130">
        <v>127</v>
      </c>
      <c r="BA130" s="5">
        <v>5</v>
      </c>
      <c r="BB130" s="5">
        <v>7</v>
      </c>
      <c r="BD130" s="11">
        <v>127</v>
      </c>
      <c r="BE130" s="11">
        <v>84</v>
      </c>
      <c r="BF130" s="11">
        <v>5</v>
      </c>
      <c r="BG130" s="11">
        <v>5</v>
      </c>
      <c r="BH130" s="11">
        <v>6</v>
      </c>
    </row>
    <row r="131" spans="47:60" ht="15.75" x14ac:dyDescent="0.25">
      <c r="AU131" s="12">
        <v>128</v>
      </c>
      <c r="AV131" s="65" t="s">
        <v>200</v>
      </c>
      <c r="AW131" s="63">
        <v>80</v>
      </c>
      <c r="AX131" s="108">
        <v>2</v>
      </c>
      <c r="AZ131" s="130">
        <v>128</v>
      </c>
      <c r="BA131" s="5">
        <v>4</v>
      </c>
      <c r="BB131" s="5">
        <v>7</v>
      </c>
      <c r="BD131" s="11">
        <v>128</v>
      </c>
      <c r="BE131" s="11">
        <v>85</v>
      </c>
      <c r="BF131" s="11">
        <v>2</v>
      </c>
      <c r="BG131" s="11">
        <v>6</v>
      </c>
      <c r="BH131" s="11">
        <v>4</v>
      </c>
    </row>
    <row r="132" spans="47:60" ht="15.75" x14ac:dyDescent="0.25">
      <c r="AU132" s="12">
        <v>129</v>
      </c>
      <c r="AV132" s="62" t="s">
        <v>201</v>
      </c>
      <c r="AW132" s="63">
        <v>75</v>
      </c>
      <c r="AX132" s="108">
        <v>2</v>
      </c>
      <c r="AZ132" s="130">
        <v>129</v>
      </c>
      <c r="BA132" s="5">
        <v>5</v>
      </c>
      <c r="BB132" s="5">
        <v>5</v>
      </c>
      <c r="BD132" s="11">
        <v>129</v>
      </c>
      <c r="BE132" s="11">
        <v>85</v>
      </c>
      <c r="BF132" s="11">
        <v>3</v>
      </c>
      <c r="BG132" s="11">
        <v>6</v>
      </c>
      <c r="BH132" s="11">
        <v>4</v>
      </c>
    </row>
    <row r="133" spans="47:60" ht="15.75" x14ac:dyDescent="0.25">
      <c r="AU133" s="12">
        <v>130</v>
      </c>
      <c r="AV133" s="65" t="s">
        <v>202</v>
      </c>
      <c r="AW133" s="63">
        <v>71</v>
      </c>
      <c r="AX133" s="108">
        <v>1</v>
      </c>
      <c r="AZ133" s="130">
        <v>130</v>
      </c>
      <c r="BA133" s="5">
        <v>5</v>
      </c>
      <c r="BB133" s="5">
        <v>1</v>
      </c>
      <c r="BD133" s="11">
        <v>130</v>
      </c>
      <c r="BE133" s="11">
        <v>86</v>
      </c>
      <c r="BF133" s="11">
        <v>3</v>
      </c>
      <c r="BG133" s="11">
        <v>4</v>
      </c>
      <c r="BH133" s="11">
        <v>1</v>
      </c>
    </row>
    <row r="134" spans="47:60" ht="15.75" x14ac:dyDescent="0.25">
      <c r="AU134" s="12">
        <v>131</v>
      </c>
      <c r="AV134" s="66" t="s">
        <v>203</v>
      </c>
      <c r="AW134" s="63">
        <v>71</v>
      </c>
      <c r="AX134" s="108">
        <v>2</v>
      </c>
      <c r="AZ134" s="130">
        <v>131</v>
      </c>
      <c r="BA134" s="5">
        <v>1</v>
      </c>
      <c r="BB134" s="5">
        <v>7</v>
      </c>
      <c r="BD134" s="11">
        <v>131</v>
      </c>
      <c r="BE134" s="11">
        <v>86</v>
      </c>
      <c r="BF134" s="11">
        <v>5</v>
      </c>
      <c r="BG134" s="11">
        <v>4</v>
      </c>
      <c r="BH134" s="11">
        <v>1</v>
      </c>
    </row>
    <row r="135" spans="47:60" ht="15.75" x14ac:dyDescent="0.25">
      <c r="AU135" s="12">
        <v>132</v>
      </c>
      <c r="AV135" s="66" t="s">
        <v>204</v>
      </c>
      <c r="AW135" s="63">
        <v>50</v>
      </c>
      <c r="AX135" s="108">
        <v>2</v>
      </c>
      <c r="AZ135" s="130">
        <v>132</v>
      </c>
      <c r="BA135" s="5">
        <v>1</v>
      </c>
      <c r="BB135" s="5">
        <v>2</v>
      </c>
      <c r="BD135" s="11">
        <v>132</v>
      </c>
      <c r="BE135" s="11">
        <v>87</v>
      </c>
      <c r="BF135" s="11">
        <v>4</v>
      </c>
      <c r="BG135" s="11">
        <v>3</v>
      </c>
      <c r="BH135" s="11">
        <v>5</v>
      </c>
    </row>
    <row r="136" spans="47:60" ht="16.5" thickBot="1" x14ac:dyDescent="0.3">
      <c r="AU136" s="12">
        <v>133</v>
      </c>
      <c r="AV136" s="66" t="s">
        <v>205</v>
      </c>
      <c r="AW136" s="63">
        <v>40</v>
      </c>
      <c r="AX136" s="108">
        <v>2</v>
      </c>
      <c r="AZ136" s="130">
        <v>133</v>
      </c>
      <c r="BA136" s="5">
        <v>3</v>
      </c>
      <c r="BB136" s="5">
        <v>5</v>
      </c>
      <c r="BD136" s="11">
        <v>133</v>
      </c>
      <c r="BE136" s="11">
        <v>88</v>
      </c>
      <c r="BF136" s="11">
        <v>2</v>
      </c>
      <c r="BG136" s="11">
        <v>5</v>
      </c>
      <c r="BH136" s="11">
        <v>5</v>
      </c>
    </row>
    <row r="137" spans="47:60" ht="15.75" x14ac:dyDescent="0.25">
      <c r="AU137" s="12">
        <v>134</v>
      </c>
      <c r="AV137" s="67" t="s">
        <v>206</v>
      </c>
      <c r="AW137" s="68">
        <v>28</v>
      </c>
      <c r="AX137" s="108">
        <v>1</v>
      </c>
      <c r="AZ137" s="130">
        <v>134</v>
      </c>
      <c r="BA137" s="5">
        <v>4</v>
      </c>
      <c r="BB137" s="5">
        <v>6</v>
      </c>
      <c r="BD137" s="11">
        <v>134</v>
      </c>
      <c r="BE137" s="11">
        <v>89</v>
      </c>
      <c r="BF137" s="11">
        <v>3</v>
      </c>
      <c r="BG137" s="11">
        <v>4</v>
      </c>
      <c r="BH137" s="11">
        <v>6</v>
      </c>
    </row>
    <row r="138" spans="47:60" ht="16.5" thickBot="1" x14ac:dyDescent="0.3">
      <c r="AU138" s="12">
        <v>135</v>
      </c>
      <c r="AV138" s="69" t="s">
        <v>207</v>
      </c>
      <c r="AW138" s="68">
        <v>41</v>
      </c>
      <c r="AX138" s="108">
        <v>1</v>
      </c>
      <c r="AZ138" s="130">
        <v>135</v>
      </c>
      <c r="BA138" s="5">
        <v>2</v>
      </c>
      <c r="BB138" s="5">
        <v>3</v>
      </c>
      <c r="BD138" s="11">
        <v>135</v>
      </c>
      <c r="BE138" s="11">
        <v>89</v>
      </c>
      <c r="BF138" s="11">
        <v>9</v>
      </c>
      <c r="BG138" s="11">
        <v>4</v>
      </c>
      <c r="BH138" s="11">
        <v>6</v>
      </c>
    </row>
    <row r="139" spans="47:60" ht="15.75" x14ac:dyDescent="0.25">
      <c r="AU139" s="12">
        <v>136</v>
      </c>
      <c r="AV139" s="70" t="s">
        <v>208</v>
      </c>
      <c r="AW139" s="68">
        <v>32</v>
      </c>
      <c r="AX139" s="108">
        <v>1</v>
      </c>
      <c r="AZ139" s="130">
        <v>136</v>
      </c>
      <c r="BA139" s="5">
        <v>4</v>
      </c>
      <c r="BB139" s="5">
        <v>4</v>
      </c>
      <c r="BD139" s="11">
        <v>136</v>
      </c>
      <c r="BE139" s="11">
        <v>90</v>
      </c>
      <c r="BF139" s="11">
        <v>4</v>
      </c>
      <c r="BG139" s="11">
        <v>8</v>
      </c>
      <c r="BH139" s="11">
        <v>2</v>
      </c>
    </row>
    <row r="140" spans="47:60" ht="16.5" thickBot="1" x14ac:dyDescent="0.3">
      <c r="AU140" s="12">
        <v>137</v>
      </c>
      <c r="AV140" s="69" t="s">
        <v>209</v>
      </c>
      <c r="AW140" s="68">
        <v>39</v>
      </c>
      <c r="AX140" s="108">
        <v>2</v>
      </c>
      <c r="AZ140" s="130">
        <v>137</v>
      </c>
      <c r="BA140" s="5">
        <v>2</v>
      </c>
      <c r="BB140" s="5">
        <v>6</v>
      </c>
      <c r="BD140" s="11">
        <v>137</v>
      </c>
      <c r="BE140" s="11">
        <v>90</v>
      </c>
      <c r="BF140" s="11">
        <v>5</v>
      </c>
      <c r="BG140" s="11">
        <v>8</v>
      </c>
      <c r="BH140" s="11">
        <v>2</v>
      </c>
    </row>
    <row r="141" spans="47:60" ht="15.75" x14ac:dyDescent="0.25">
      <c r="AU141" s="12">
        <v>138</v>
      </c>
      <c r="AV141" s="65" t="s">
        <v>210</v>
      </c>
      <c r="AW141" s="68">
        <v>67</v>
      </c>
      <c r="AX141" s="108">
        <v>2</v>
      </c>
      <c r="AZ141" s="130">
        <v>138</v>
      </c>
      <c r="BA141" s="5">
        <v>2</v>
      </c>
      <c r="BB141" s="5">
        <v>7</v>
      </c>
      <c r="BD141" s="11">
        <v>138</v>
      </c>
      <c r="BE141" s="11">
        <v>91</v>
      </c>
      <c r="BF141" s="11">
        <v>1</v>
      </c>
      <c r="BG141" s="11">
        <v>4</v>
      </c>
      <c r="BH141" s="11">
        <v>2</v>
      </c>
    </row>
    <row r="142" spans="47:60" ht="15.75" x14ac:dyDescent="0.25">
      <c r="AU142" s="12">
        <v>139</v>
      </c>
      <c r="AV142" s="65" t="s">
        <v>211</v>
      </c>
      <c r="AW142" s="68">
        <v>73</v>
      </c>
      <c r="AX142" s="108">
        <v>2</v>
      </c>
      <c r="AZ142" s="130">
        <v>139</v>
      </c>
      <c r="BA142" s="5">
        <v>3</v>
      </c>
      <c r="BB142" s="5">
        <v>1</v>
      </c>
      <c r="BD142" s="11">
        <v>139</v>
      </c>
      <c r="BE142" s="11">
        <v>91</v>
      </c>
      <c r="BF142" s="11">
        <v>4</v>
      </c>
      <c r="BG142" s="11">
        <v>4</v>
      </c>
      <c r="BH142" s="11">
        <v>2</v>
      </c>
    </row>
    <row r="143" spans="47:60" ht="15.75" x14ac:dyDescent="0.25">
      <c r="AU143" s="12">
        <v>140</v>
      </c>
      <c r="AV143" s="65" t="s">
        <v>212</v>
      </c>
      <c r="AW143" s="68">
        <v>67</v>
      </c>
      <c r="AX143" s="108">
        <v>2</v>
      </c>
      <c r="AZ143" s="130">
        <v>140</v>
      </c>
      <c r="BA143" s="5">
        <v>2</v>
      </c>
      <c r="BB143" s="5">
        <v>4</v>
      </c>
      <c r="BD143" s="11">
        <v>140</v>
      </c>
      <c r="BE143" s="11">
        <v>92</v>
      </c>
      <c r="BF143" s="11">
        <v>6</v>
      </c>
      <c r="BG143" s="11">
        <v>3</v>
      </c>
      <c r="BH143" s="11">
        <v>3</v>
      </c>
    </row>
    <row r="144" spans="47:60" ht="15.75" x14ac:dyDescent="0.25">
      <c r="AU144" s="12">
        <v>141</v>
      </c>
      <c r="AV144" s="65" t="s">
        <v>213</v>
      </c>
      <c r="AW144" s="68">
        <v>31</v>
      </c>
      <c r="AX144" s="108">
        <v>2</v>
      </c>
      <c r="AZ144" s="130">
        <v>141</v>
      </c>
      <c r="BA144" s="5">
        <v>7</v>
      </c>
      <c r="BB144" s="5">
        <v>1</v>
      </c>
      <c r="BD144" s="11">
        <v>141</v>
      </c>
      <c r="BE144" s="11">
        <v>92</v>
      </c>
      <c r="BF144" s="11">
        <v>11</v>
      </c>
      <c r="BG144" s="11">
        <v>3</v>
      </c>
      <c r="BH144" s="11">
        <v>3</v>
      </c>
    </row>
    <row r="145" spans="47:60" ht="15.75" x14ac:dyDescent="0.25">
      <c r="AU145" s="12">
        <v>142</v>
      </c>
      <c r="AV145" s="65" t="s">
        <v>214</v>
      </c>
      <c r="AW145" s="68">
        <v>36</v>
      </c>
      <c r="AX145" s="108">
        <v>2</v>
      </c>
      <c r="AZ145" s="130">
        <v>142</v>
      </c>
      <c r="BA145" s="5">
        <v>5</v>
      </c>
      <c r="BB145" s="5">
        <v>2</v>
      </c>
      <c r="BD145" s="11">
        <v>142</v>
      </c>
      <c r="BE145" s="11">
        <v>93</v>
      </c>
      <c r="BF145" s="11">
        <v>7</v>
      </c>
      <c r="BG145" s="11">
        <v>5</v>
      </c>
      <c r="BH145" s="11">
        <v>7</v>
      </c>
    </row>
    <row r="146" spans="47:60" ht="15.75" x14ac:dyDescent="0.25">
      <c r="AU146" s="12">
        <v>143</v>
      </c>
      <c r="AV146" s="65" t="s">
        <v>215</v>
      </c>
      <c r="AW146" s="68">
        <v>3</v>
      </c>
      <c r="AX146" s="108">
        <v>1</v>
      </c>
      <c r="AZ146" s="130">
        <v>143</v>
      </c>
      <c r="BA146" s="5">
        <v>6</v>
      </c>
      <c r="BB146" s="5">
        <v>3</v>
      </c>
      <c r="BD146" s="11">
        <v>143</v>
      </c>
      <c r="BE146" s="11">
        <v>94</v>
      </c>
      <c r="BF146" s="11">
        <v>5</v>
      </c>
      <c r="BG146" s="11">
        <v>2</v>
      </c>
      <c r="BH146" s="11">
        <v>1</v>
      </c>
    </row>
    <row r="147" spans="47:60" ht="15.75" x14ac:dyDescent="0.25">
      <c r="AU147" s="12">
        <v>144</v>
      </c>
      <c r="AV147" s="66" t="s">
        <v>216</v>
      </c>
      <c r="AW147" s="68">
        <v>63</v>
      </c>
      <c r="AX147" s="108">
        <v>2</v>
      </c>
      <c r="AZ147" s="130">
        <v>144</v>
      </c>
      <c r="BA147" s="5">
        <v>3</v>
      </c>
      <c r="BB147" s="5">
        <v>4</v>
      </c>
      <c r="BD147" s="11">
        <v>144</v>
      </c>
      <c r="BE147" s="11">
        <v>95</v>
      </c>
      <c r="BF147" s="11">
        <v>13</v>
      </c>
      <c r="BG147" s="11">
        <v>3</v>
      </c>
      <c r="BH147" s="11">
        <v>2</v>
      </c>
    </row>
    <row r="148" spans="47:60" ht="15.75" x14ac:dyDescent="0.25">
      <c r="AU148" s="12">
        <v>145</v>
      </c>
      <c r="AV148" s="65" t="s">
        <v>217</v>
      </c>
      <c r="AW148" s="68">
        <v>70</v>
      </c>
      <c r="AX148" s="108">
        <v>2</v>
      </c>
      <c r="AZ148" s="130">
        <v>145</v>
      </c>
      <c r="BA148" s="5">
        <v>8</v>
      </c>
      <c r="BB148" s="5">
        <v>1</v>
      </c>
      <c r="BD148" s="11">
        <v>145</v>
      </c>
      <c r="BE148" s="11">
        <v>95</v>
      </c>
      <c r="BF148" s="11">
        <v>14</v>
      </c>
      <c r="BG148" s="11">
        <v>3</v>
      </c>
      <c r="BH148" s="11">
        <v>2</v>
      </c>
    </row>
    <row r="149" spans="47:60" ht="15.75" x14ac:dyDescent="0.25">
      <c r="AU149" s="12">
        <v>146</v>
      </c>
      <c r="AV149" s="71" t="s">
        <v>218</v>
      </c>
      <c r="AW149" s="68">
        <v>36</v>
      </c>
      <c r="AX149" s="108">
        <v>2</v>
      </c>
      <c r="AZ149" s="130">
        <v>146</v>
      </c>
      <c r="BA149" s="5">
        <v>8</v>
      </c>
      <c r="BB149" s="5">
        <v>3</v>
      </c>
      <c r="BD149" s="11">
        <v>146</v>
      </c>
      <c r="BE149" s="11">
        <v>96</v>
      </c>
      <c r="BF149" s="11">
        <v>3</v>
      </c>
      <c r="BG149" s="11">
        <v>7</v>
      </c>
      <c r="BH149" s="11">
        <v>5</v>
      </c>
    </row>
    <row r="150" spans="47:60" ht="15.75" x14ac:dyDescent="0.25">
      <c r="AU150" s="12">
        <v>147</v>
      </c>
      <c r="AV150" s="72" t="s">
        <v>219</v>
      </c>
      <c r="AW150" s="68">
        <v>27</v>
      </c>
      <c r="AX150" s="108">
        <v>2</v>
      </c>
      <c r="AZ150" s="130">
        <v>147</v>
      </c>
      <c r="BA150" s="5">
        <v>3</v>
      </c>
      <c r="BB150" s="5">
        <v>7</v>
      </c>
      <c r="BD150" s="11">
        <v>147</v>
      </c>
      <c r="BE150" s="11">
        <v>97</v>
      </c>
      <c r="BF150" s="11">
        <v>9</v>
      </c>
      <c r="BG150" s="11">
        <v>6</v>
      </c>
      <c r="BH150" s="11">
        <v>7</v>
      </c>
    </row>
    <row r="151" spans="47:60" ht="15.75" x14ac:dyDescent="0.25">
      <c r="AU151" s="12">
        <v>148</v>
      </c>
      <c r="AV151" s="72" t="s">
        <v>220</v>
      </c>
      <c r="AW151" s="68">
        <v>62</v>
      </c>
      <c r="AX151" s="108">
        <v>2</v>
      </c>
      <c r="AZ151" s="130">
        <v>148</v>
      </c>
      <c r="BA151" s="5">
        <v>2</v>
      </c>
      <c r="BB151" s="5">
        <v>5</v>
      </c>
      <c r="BD151" s="11">
        <v>148</v>
      </c>
      <c r="BE151" s="11">
        <v>98</v>
      </c>
      <c r="BF151" s="11">
        <v>2</v>
      </c>
      <c r="BG151" s="11">
        <v>3</v>
      </c>
      <c r="BH151" s="11">
        <v>4</v>
      </c>
    </row>
    <row r="152" spans="47:60" ht="15.75" x14ac:dyDescent="0.25">
      <c r="AU152" s="12">
        <v>149</v>
      </c>
      <c r="AV152" s="72" t="s">
        <v>221</v>
      </c>
      <c r="AW152" s="68">
        <v>62</v>
      </c>
      <c r="AX152" s="108">
        <v>2</v>
      </c>
      <c r="AZ152" s="130">
        <v>149</v>
      </c>
      <c r="BA152" s="5">
        <v>5</v>
      </c>
      <c r="BB152" s="5">
        <v>4</v>
      </c>
      <c r="BD152" s="11">
        <v>149</v>
      </c>
      <c r="BE152" s="11">
        <v>99</v>
      </c>
      <c r="BF152" s="11">
        <v>13</v>
      </c>
      <c r="BG152" s="11">
        <v>5</v>
      </c>
      <c r="BH152" s="11">
        <v>2</v>
      </c>
    </row>
    <row r="153" spans="47:60" x14ac:dyDescent="0.25">
      <c r="AU153" s="12">
        <v>150</v>
      </c>
      <c r="AV153" s="73" t="s">
        <v>222</v>
      </c>
      <c r="AW153" s="74">
        <v>75</v>
      </c>
      <c r="AX153" s="108">
        <v>2</v>
      </c>
      <c r="AZ153" s="130">
        <v>150</v>
      </c>
      <c r="BA153" s="5">
        <v>8</v>
      </c>
      <c r="BB153" s="5">
        <v>6</v>
      </c>
      <c r="BD153" s="11">
        <v>150</v>
      </c>
      <c r="BE153" s="11">
        <v>99</v>
      </c>
      <c r="BF153" s="11">
        <v>14</v>
      </c>
      <c r="BG153" s="11">
        <v>5</v>
      </c>
      <c r="BH153" s="11">
        <v>2</v>
      </c>
    </row>
    <row r="154" spans="47:60" x14ac:dyDescent="0.25">
      <c r="AU154" s="12">
        <v>151</v>
      </c>
      <c r="AV154" s="75" t="s">
        <v>223</v>
      </c>
      <c r="AW154" s="74">
        <v>77</v>
      </c>
      <c r="AX154" s="108">
        <v>2</v>
      </c>
      <c r="AZ154" s="130">
        <v>151</v>
      </c>
      <c r="BA154" s="5">
        <v>3</v>
      </c>
      <c r="BB154" s="5">
        <v>7</v>
      </c>
      <c r="BD154" s="11">
        <v>151</v>
      </c>
      <c r="BE154" s="11">
        <v>100</v>
      </c>
      <c r="BF154" s="11">
        <v>3</v>
      </c>
      <c r="BG154" s="11">
        <v>8</v>
      </c>
      <c r="BH154" s="11">
        <v>6</v>
      </c>
    </row>
    <row r="155" spans="47:60" x14ac:dyDescent="0.25">
      <c r="AU155" s="12">
        <v>152</v>
      </c>
      <c r="AV155" s="73" t="s">
        <v>224</v>
      </c>
      <c r="AW155" s="74">
        <v>74</v>
      </c>
      <c r="AX155" s="108">
        <v>2</v>
      </c>
      <c r="AZ155" s="130">
        <v>152</v>
      </c>
      <c r="BA155" s="5">
        <v>2</v>
      </c>
      <c r="BB155" s="5">
        <v>1</v>
      </c>
      <c r="BD155" s="11">
        <v>152</v>
      </c>
      <c r="BE155" s="11">
        <v>101</v>
      </c>
      <c r="BF155" s="11">
        <v>9</v>
      </c>
      <c r="BG155" s="11">
        <v>1</v>
      </c>
      <c r="BH155" s="11">
        <v>2</v>
      </c>
    </row>
    <row r="156" spans="47:60" x14ac:dyDescent="0.25">
      <c r="AU156" s="12">
        <v>153</v>
      </c>
      <c r="AV156" s="75" t="s">
        <v>225</v>
      </c>
      <c r="AW156" s="74">
        <v>75</v>
      </c>
      <c r="AX156" s="108">
        <v>1</v>
      </c>
      <c r="AZ156" s="130">
        <v>153</v>
      </c>
      <c r="BA156" s="5">
        <v>1</v>
      </c>
      <c r="BB156" s="5">
        <v>2</v>
      </c>
      <c r="BD156" s="11">
        <v>153</v>
      </c>
      <c r="BE156" s="11">
        <v>102</v>
      </c>
      <c r="BF156" s="11">
        <v>3</v>
      </c>
      <c r="BG156" s="11">
        <v>7</v>
      </c>
      <c r="BH156" s="11">
        <v>3</v>
      </c>
    </row>
    <row r="157" spans="47:60" x14ac:dyDescent="0.25">
      <c r="AU157" s="12">
        <v>154</v>
      </c>
      <c r="AV157" s="76" t="s">
        <v>226</v>
      </c>
      <c r="AW157" s="77">
        <v>66</v>
      </c>
      <c r="AX157" s="108">
        <v>1</v>
      </c>
      <c r="AZ157" s="130">
        <v>154</v>
      </c>
      <c r="BA157" s="5">
        <v>1</v>
      </c>
      <c r="BB157" s="5">
        <v>6</v>
      </c>
      <c r="BD157" s="11">
        <v>154</v>
      </c>
      <c r="BE157" s="11">
        <v>103</v>
      </c>
      <c r="BF157" s="11">
        <v>1</v>
      </c>
      <c r="BG157" s="11">
        <v>6</v>
      </c>
      <c r="BH157" s="11">
        <v>7</v>
      </c>
    </row>
    <row r="158" spans="47:60" x14ac:dyDescent="0.25">
      <c r="AU158" s="12">
        <v>155</v>
      </c>
      <c r="AV158" s="76" t="s">
        <v>227</v>
      </c>
      <c r="AW158" s="77">
        <v>66</v>
      </c>
      <c r="AX158" s="108">
        <v>1</v>
      </c>
      <c r="AZ158" s="130">
        <v>155</v>
      </c>
      <c r="BA158" s="5">
        <v>6</v>
      </c>
      <c r="BB158" s="5">
        <v>7</v>
      </c>
      <c r="BD158" s="11">
        <v>155</v>
      </c>
      <c r="BE158" s="11">
        <v>103</v>
      </c>
      <c r="BF158" s="11">
        <v>2</v>
      </c>
      <c r="BG158" s="11">
        <v>6</v>
      </c>
      <c r="BH158" s="11">
        <v>7</v>
      </c>
    </row>
    <row r="159" spans="47:60" x14ac:dyDescent="0.25">
      <c r="AU159" s="12">
        <v>156</v>
      </c>
      <c r="AV159" s="76" t="s">
        <v>228</v>
      </c>
      <c r="AW159" s="77">
        <v>70</v>
      </c>
      <c r="AX159" s="108">
        <v>1</v>
      </c>
      <c r="AZ159" s="130">
        <v>156</v>
      </c>
      <c r="BA159" s="5">
        <v>5</v>
      </c>
      <c r="BB159" s="5">
        <v>7</v>
      </c>
      <c r="BD159" s="11">
        <v>156</v>
      </c>
      <c r="BE159" s="11">
        <v>103</v>
      </c>
      <c r="BF159" s="11">
        <v>4</v>
      </c>
      <c r="BG159" s="11">
        <v>6</v>
      </c>
      <c r="BH159" s="11">
        <v>7</v>
      </c>
    </row>
    <row r="160" spans="47:60" x14ac:dyDescent="0.25">
      <c r="AU160" s="12">
        <v>157</v>
      </c>
      <c r="AV160" s="78" t="s">
        <v>229</v>
      </c>
      <c r="AW160" s="77">
        <v>38</v>
      </c>
      <c r="AX160" s="108">
        <v>1</v>
      </c>
      <c r="AZ160" s="130">
        <v>157</v>
      </c>
      <c r="BA160" s="5">
        <v>4</v>
      </c>
      <c r="BB160" s="5">
        <v>7</v>
      </c>
      <c r="BD160" s="11">
        <v>157</v>
      </c>
      <c r="BE160" s="11">
        <v>103</v>
      </c>
      <c r="BF160" s="11">
        <v>8</v>
      </c>
      <c r="BG160" s="11">
        <v>6</v>
      </c>
      <c r="BH160" s="11">
        <v>7</v>
      </c>
    </row>
    <row r="161" spans="47:60" x14ac:dyDescent="0.25">
      <c r="AU161" s="12">
        <v>158</v>
      </c>
      <c r="AV161" s="79" t="s">
        <v>230</v>
      </c>
      <c r="AW161" s="77">
        <v>37</v>
      </c>
      <c r="AX161" s="108">
        <v>1</v>
      </c>
      <c r="AZ161" s="130">
        <v>158</v>
      </c>
      <c r="BA161" s="5">
        <v>7</v>
      </c>
      <c r="BB161" s="5">
        <v>5</v>
      </c>
      <c r="BD161" s="11">
        <v>158</v>
      </c>
      <c r="BE161" s="11">
        <v>104</v>
      </c>
      <c r="BF161" s="11">
        <v>1</v>
      </c>
      <c r="BG161" s="11">
        <v>5</v>
      </c>
      <c r="BH161" s="11">
        <v>7</v>
      </c>
    </row>
    <row r="162" spans="47:60" x14ac:dyDescent="0.25">
      <c r="AU162" s="12">
        <v>159</v>
      </c>
      <c r="AV162" s="78" t="s">
        <v>231</v>
      </c>
      <c r="AW162" s="77">
        <v>22</v>
      </c>
      <c r="AX162" s="108">
        <v>1</v>
      </c>
      <c r="AZ162" s="130">
        <v>159</v>
      </c>
      <c r="BA162" s="5">
        <v>4</v>
      </c>
      <c r="BB162" s="5">
        <v>4</v>
      </c>
      <c r="BD162" s="11">
        <v>159</v>
      </c>
      <c r="BE162" s="11">
        <v>104</v>
      </c>
      <c r="BF162" s="11">
        <v>3</v>
      </c>
      <c r="BG162" s="11">
        <v>5</v>
      </c>
      <c r="BH162" s="11">
        <v>7</v>
      </c>
    </row>
    <row r="163" spans="47:60" x14ac:dyDescent="0.25">
      <c r="AU163" s="12">
        <v>160</v>
      </c>
      <c r="AV163" s="79" t="s">
        <v>232</v>
      </c>
      <c r="AW163" s="77">
        <v>57</v>
      </c>
      <c r="AX163" s="108">
        <v>1</v>
      </c>
      <c r="AZ163" s="130">
        <v>160</v>
      </c>
      <c r="BA163" s="5">
        <v>7</v>
      </c>
      <c r="BB163" s="5">
        <v>1</v>
      </c>
      <c r="BD163" s="11">
        <v>160</v>
      </c>
      <c r="BE163" s="11">
        <v>105</v>
      </c>
      <c r="BF163" s="11">
        <v>6</v>
      </c>
      <c r="BG163" s="11">
        <v>4</v>
      </c>
      <c r="BH163" s="11">
        <v>7</v>
      </c>
    </row>
    <row r="164" spans="47:60" x14ac:dyDescent="0.25">
      <c r="AU164" s="12">
        <v>161</v>
      </c>
      <c r="AV164" s="76" t="s">
        <v>233</v>
      </c>
      <c r="AW164" s="77">
        <v>54</v>
      </c>
      <c r="AX164" s="108">
        <v>2</v>
      </c>
      <c r="AZ164" s="130">
        <v>161</v>
      </c>
      <c r="BA164" s="5">
        <v>5</v>
      </c>
      <c r="BB164" s="5">
        <v>3</v>
      </c>
      <c r="BD164" s="11">
        <v>161</v>
      </c>
      <c r="BE164" s="11">
        <v>105</v>
      </c>
      <c r="BF164" s="11">
        <v>7</v>
      </c>
      <c r="BG164" s="11">
        <v>4</v>
      </c>
      <c r="BH164" s="11">
        <v>7</v>
      </c>
    </row>
    <row r="165" spans="47:60" x14ac:dyDescent="0.25">
      <c r="AU165" s="12">
        <v>162</v>
      </c>
      <c r="AV165" s="78" t="s">
        <v>234</v>
      </c>
      <c r="AW165" s="77">
        <v>54</v>
      </c>
      <c r="AX165" s="108">
        <v>2</v>
      </c>
      <c r="AZ165" s="130">
        <v>162</v>
      </c>
      <c r="BA165" s="5">
        <v>6</v>
      </c>
      <c r="BB165" s="5">
        <v>3</v>
      </c>
      <c r="BD165" s="11">
        <v>162</v>
      </c>
      <c r="BE165" s="11">
        <v>106</v>
      </c>
      <c r="BF165" s="11">
        <v>4</v>
      </c>
      <c r="BG165" s="11">
        <v>8</v>
      </c>
      <c r="BH165" s="11">
        <v>6</v>
      </c>
    </row>
    <row r="166" spans="47:60" x14ac:dyDescent="0.25">
      <c r="AU166" s="12">
        <v>163</v>
      </c>
      <c r="AV166" s="80" t="s">
        <v>235</v>
      </c>
      <c r="AW166" s="77">
        <v>53</v>
      </c>
      <c r="AX166" s="108">
        <v>2</v>
      </c>
      <c r="AZ166" s="130">
        <v>163</v>
      </c>
      <c r="BA166" s="5">
        <v>6</v>
      </c>
      <c r="BB166" s="5">
        <v>4</v>
      </c>
      <c r="BD166" s="11">
        <v>163</v>
      </c>
      <c r="BE166" s="11">
        <v>106</v>
      </c>
      <c r="BF166" s="11">
        <v>5</v>
      </c>
      <c r="BG166" s="11">
        <v>8</v>
      </c>
      <c r="BH166" s="11">
        <v>6</v>
      </c>
    </row>
    <row r="167" spans="47:60" x14ac:dyDescent="0.25">
      <c r="AU167" s="12">
        <v>164</v>
      </c>
      <c r="AV167" s="78" t="s">
        <v>236</v>
      </c>
      <c r="AW167" s="77">
        <v>53</v>
      </c>
      <c r="AX167" s="108">
        <v>2</v>
      </c>
      <c r="AZ167" s="130">
        <v>164</v>
      </c>
      <c r="BA167" s="5">
        <v>4</v>
      </c>
      <c r="BB167" s="5">
        <v>6</v>
      </c>
      <c r="BD167" s="11">
        <v>164</v>
      </c>
      <c r="BE167" s="11">
        <v>107</v>
      </c>
      <c r="BF167" s="11">
        <v>1</v>
      </c>
      <c r="BG167" s="11">
        <v>8</v>
      </c>
      <c r="BH167" s="11">
        <v>7</v>
      </c>
    </row>
    <row r="168" spans="47:60" x14ac:dyDescent="0.25">
      <c r="AU168" s="12">
        <v>165</v>
      </c>
      <c r="AV168" s="81" t="s">
        <v>237</v>
      </c>
      <c r="AW168" s="77">
        <v>54</v>
      </c>
      <c r="AX168" s="108">
        <v>2</v>
      </c>
      <c r="AZ168" s="130">
        <v>165</v>
      </c>
      <c r="BA168" s="5">
        <v>5</v>
      </c>
      <c r="BB168" s="5">
        <v>2</v>
      </c>
      <c r="BD168" s="11">
        <v>165</v>
      </c>
      <c r="BE168" s="11">
        <v>107</v>
      </c>
      <c r="BF168" s="11">
        <v>3</v>
      </c>
      <c r="BG168" s="11">
        <v>8</v>
      </c>
      <c r="BH168" s="11">
        <v>7</v>
      </c>
    </row>
    <row r="169" spans="47:60" x14ac:dyDescent="0.25">
      <c r="AU169" s="12">
        <v>166</v>
      </c>
      <c r="AV169" s="82" t="s">
        <v>238</v>
      </c>
      <c r="AW169" s="77">
        <v>54</v>
      </c>
      <c r="AX169" s="108">
        <v>2</v>
      </c>
      <c r="AZ169" s="130">
        <v>166</v>
      </c>
      <c r="BA169" s="5">
        <v>5</v>
      </c>
      <c r="BB169" s="5">
        <v>5</v>
      </c>
      <c r="BD169" s="11">
        <v>166</v>
      </c>
      <c r="BE169" s="11">
        <v>108</v>
      </c>
      <c r="BF169" s="11">
        <v>1</v>
      </c>
      <c r="BG169" s="11">
        <v>1</v>
      </c>
      <c r="BH169" s="11">
        <v>5</v>
      </c>
    </row>
    <row r="170" spans="47:60" x14ac:dyDescent="0.25">
      <c r="AU170" s="12">
        <v>167</v>
      </c>
      <c r="AV170" s="83" t="s">
        <v>239</v>
      </c>
      <c r="AW170" s="77">
        <v>30</v>
      </c>
      <c r="AX170" s="108">
        <v>1</v>
      </c>
      <c r="AZ170" s="130">
        <v>167</v>
      </c>
      <c r="BA170" s="5">
        <v>6</v>
      </c>
      <c r="BB170" s="5">
        <v>5</v>
      </c>
      <c r="BD170" s="11">
        <v>167</v>
      </c>
      <c r="BE170" s="11">
        <v>108</v>
      </c>
      <c r="BF170" s="11">
        <v>4</v>
      </c>
      <c r="BG170" s="11">
        <v>1</v>
      </c>
      <c r="BH170" s="11">
        <v>5</v>
      </c>
    </row>
    <row r="171" spans="47:60" x14ac:dyDescent="0.25">
      <c r="AU171" s="12">
        <v>168</v>
      </c>
      <c r="AV171" s="84" t="s">
        <v>240</v>
      </c>
      <c r="AW171" s="77">
        <v>18</v>
      </c>
      <c r="AX171" s="108">
        <v>1</v>
      </c>
      <c r="AZ171" s="130">
        <v>168</v>
      </c>
      <c r="BA171" s="5">
        <v>2</v>
      </c>
      <c r="BB171" s="5">
        <v>5</v>
      </c>
      <c r="BD171" s="11">
        <v>168</v>
      </c>
      <c r="BE171" s="11">
        <v>109</v>
      </c>
      <c r="BF171" s="11">
        <v>3</v>
      </c>
      <c r="BG171" s="11">
        <v>2</v>
      </c>
      <c r="BH171" s="11">
        <v>6</v>
      </c>
    </row>
    <row r="172" spans="47:60" x14ac:dyDescent="0.25">
      <c r="AU172" s="12">
        <v>169</v>
      </c>
      <c r="AV172" s="81" t="s">
        <v>241</v>
      </c>
      <c r="AW172" s="77">
        <v>32</v>
      </c>
      <c r="AX172" s="108">
        <v>1</v>
      </c>
      <c r="AZ172" s="130">
        <v>169</v>
      </c>
      <c r="BA172" s="5">
        <v>5</v>
      </c>
      <c r="BB172" s="5">
        <v>1</v>
      </c>
      <c r="BD172" s="11">
        <v>169</v>
      </c>
      <c r="BE172" s="11">
        <v>109</v>
      </c>
      <c r="BF172" s="11">
        <v>5</v>
      </c>
      <c r="BG172" s="11">
        <v>2</v>
      </c>
      <c r="BH172" s="11">
        <v>6</v>
      </c>
    </row>
    <row r="173" spans="47:60" x14ac:dyDescent="0.25">
      <c r="AU173" s="12">
        <v>170</v>
      </c>
      <c r="AV173" s="82" t="s">
        <v>242</v>
      </c>
      <c r="AW173" s="77">
        <v>19</v>
      </c>
      <c r="AX173" s="108">
        <v>1</v>
      </c>
      <c r="AZ173" s="130">
        <v>170</v>
      </c>
      <c r="BA173" s="5">
        <v>2</v>
      </c>
      <c r="BB173" s="5">
        <v>7</v>
      </c>
      <c r="BD173" s="11">
        <v>170</v>
      </c>
      <c r="BE173" s="11">
        <v>110</v>
      </c>
      <c r="BF173" s="11">
        <v>1</v>
      </c>
      <c r="BG173" s="11">
        <v>5</v>
      </c>
      <c r="BH173" s="11">
        <v>3</v>
      </c>
    </row>
    <row r="174" spans="47:60" x14ac:dyDescent="0.25">
      <c r="AU174" s="12">
        <v>171</v>
      </c>
      <c r="AV174" s="76" t="s">
        <v>243</v>
      </c>
      <c r="AW174" s="77">
        <v>55</v>
      </c>
      <c r="AX174" s="108">
        <v>2</v>
      </c>
      <c r="AZ174" s="130">
        <v>171</v>
      </c>
      <c r="BA174" s="5">
        <v>6</v>
      </c>
      <c r="BB174" s="5">
        <v>7</v>
      </c>
      <c r="BD174" s="11">
        <v>171</v>
      </c>
      <c r="BE174" s="11">
        <v>111</v>
      </c>
      <c r="BF174" s="11">
        <v>1</v>
      </c>
      <c r="BG174" s="11">
        <v>2</v>
      </c>
      <c r="BH174" s="11">
        <v>5</v>
      </c>
    </row>
    <row r="175" spans="47:60" x14ac:dyDescent="0.25">
      <c r="AU175" s="12"/>
      <c r="AV175" s="20"/>
      <c r="AW175" s="20"/>
      <c r="AX175" s="108"/>
      <c r="AZ175" s="130"/>
      <c r="BA175" s="5"/>
      <c r="BB175" s="5"/>
      <c r="BD175" s="11">
        <v>172</v>
      </c>
      <c r="BE175" s="11">
        <v>112</v>
      </c>
      <c r="BF175" s="11">
        <v>3</v>
      </c>
      <c r="BG175" s="11">
        <v>2</v>
      </c>
      <c r="BH175" s="11">
        <v>3</v>
      </c>
    </row>
    <row r="176" spans="47:60" x14ac:dyDescent="0.25">
      <c r="AU176" s="12"/>
      <c r="AV176" s="20"/>
      <c r="AW176" s="20"/>
      <c r="AX176" s="108"/>
      <c r="AZ176" s="130"/>
      <c r="BA176" s="5"/>
      <c r="BB176" s="5"/>
      <c r="BD176" s="11">
        <v>173</v>
      </c>
      <c r="BE176" s="11">
        <v>113</v>
      </c>
      <c r="BF176" s="11">
        <v>5</v>
      </c>
      <c r="BG176" s="11">
        <v>1</v>
      </c>
      <c r="BH176" s="11">
        <v>1</v>
      </c>
    </row>
    <row r="177" spans="47:60" x14ac:dyDescent="0.25">
      <c r="AU177" s="15"/>
      <c r="AV177" s="20"/>
      <c r="AW177" s="108"/>
      <c r="AX177" s="108"/>
      <c r="AZ177" s="130"/>
      <c r="BA177" s="130"/>
      <c r="BB177" s="11"/>
      <c r="BD177" s="11">
        <v>174</v>
      </c>
      <c r="BE177" s="11">
        <v>114</v>
      </c>
      <c r="BF177" s="11">
        <v>10</v>
      </c>
      <c r="BG177" s="11">
        <v>6</v>
      </c>
      <c r="BH177" s="11">
        <v>6</v>
      </c>
    </row>
    <row r="178" spans="47:60" x14ac:dyDescent="0.25">
      <c r="AU178" s="15"/>
      <c r="AV178" s="20"/>
      <c r="AW178" s="108"/>
      <c r="AX178" s="108"/>
      <c r="AZ178" s="130"/>
      <c r="BA178" s="130"/>
      <c r="BB178" s="11"/>
      <c r="BD178" s="11">
        <v>175</v>
      </c>
      <c r="BE178" s="11">
        <v>115</v>
      </c>
      <c r="BF178" s="11">
        <v>4</v>
      </c>
      <c r="BG178" s="11">
        <v>6</v>
      </c>
      <c r="BH178" s="11">
        <v>3</v>
      </c>
    </row>
    <row r="179" spans="47:60" x14ac:dyDescent="0.25">
      <c r="AU179" s="15"/>
      <c r="AV179" s="21"/>
      <c r="AW179" s="108"/>
      <c r="AX179" s="108"/>
      <c r="AZ179" s="130"/>
      <c r="BA179" s="130"/>
      <c r="BB179" s="11"/>
      <c r="BD179" s="11">
        <v>176</v>
      </c>
      <c r="BE179" s="11">
        <v>116</v>
      </c>
      <c r="BF179" s="11">
        <v>6</v>
      </c>
      <c r="BG179" s="11">
        <v>3</v>
      </c>
      <c r="BH179" s="11">
        <v>7</v>
      </c>
    </row>
    <row r="180" spans="47:60" x14ac:dyDescent="0.25">
      <c r="AU180" s="15"/>
      <c r="AV180" s="21"/>
      <c r="AW180" s="108"/>
      <c r="AX180" s="108"/>
      <c r="AZ180" s="130"/>
      <c r="BA180" s="11"/>
      <c r="BB180" s="11"/>
      <c r="BD180" s="11">
        <v>177</v>
      </c>
      <c r="BE180" s="11">
        <v>117</v>
      </c>
      <c r="BF180" s="11">
        <v>1</v>
      </c>
      <c r="BG180" s="11">
        <v>3</v>
      </c>
      <c r="BH180" s="11">
        <v>3</v>
      </c>
    </row>
    <row r="181" spans="47:60" x14ac:dyDescent="0.25">
      <c r="AU181" s="15"/>
      <c r="AV181" s="21"/>
      <c r="AW181" s="108"/>
      <c r="AX181" s="108"/>
      <c r="AZ181" s="130"/>
      <c r="BA181" s="11"/>
      <c r="BB181" s="11"/>
      <c r="BD181" s="11">
        <v>178</v>
      </c>
      <c r="BE181" s="11">
        <v>118</v>
      </c>
      <c r="BF181" s="11">
        <v>2</v>
      </c>
      <c r="BG181" s="11">
        <v>7</v>
      </c>
      <c r="BH181" s="11">
        <v>1</v>
      </c>
    </row>
    <row r="182" spans="47:60" x14ac:dyDescent="0.25">
      <c r="AU182" s="15"/>
      <c r="AV182" s="20"/>
      <c r="AW182" s="108"/>
      <c r="AX182" s="108"/>
      <c r="AZ182" s="130"/>
      <c r="BA182" s="11"/>
      <c r="BB182" s="11"/>
      <c r="BD182" s="11">
        <v>179</v>
      </c>
      <c r="BE182" s="11">
        <v>119</v>
      </c>
      <c r="BF182" s="11">
        <v>1</v>
      </c>
      <c r="BG182" s="11">
        <v>1</v>
      </c>
      <c r="BH182" s="11">
        <v>2</v>
      </c>
    </row>
    <row r="183" spans="47:60" x14ac:dyDescent="0.25">
      <c r="AU183" s="15"/>
      <c r="AV183" s="20"/>
      <c r="AW183" s="108"/>
      <c r="AX183" s="108"/>
      <c r="AZ183" s="130"/>
      <c r="BA183" s="11"/>
      <c r="BB183" s="11"/>
      <c r="BD183" s="11">
        <v>180</v>
      </c>
      <c r="BE183" s="11">
        <v>120</v>
      </c>
      <c r="BF183" s="11">
        <v>5</v>
      </c>
      <c r="BG183" s="11">
        <v>4</v>
      </c>
      <c r="BH183" s="11">
        <v>2</v>
      </c>
    </row>
    <row r="184" spans="47:60" x14ac:dyDescent="0.25">
      <c r="AU184" s="15"/>
      <c r="AV184" s="21"/>
      <c r="AW184" s="108"/>
      <c r="AX184" s="108"/>
      <c r="AZ184" s="130"/>
      <c r="BA184" s="11"/>
      <c r="BB184" s="11"/>
      <c r="BD184" s="11">
        <v>181</v>
      </c>
      <c r="BE184" s="11">
        <v>121</v>
      </c>
      <c r="BF184" s="11">
        <v>5</v>
      </c>
      <c r="BG184" s="11">
        <v>6</v>
      </c>
      <c r="BH184" s="11">
        <v>2</v>
      </c>
    </row>
    <row r="185" spans="47:60" x14ac:dyDescent="0.25">
      <c r="AU185" s="15"/>
      <c r="AV185" s="21"/>
      <c r="AW185" s="108"/>
      <c r="AX185" s="108"/>
      <c r="AZ185" s="130"/>
      <c r="BA185" s="11"/>
      <c r="BB185" s="11"/>
      <c r="BD185" s="11">
        <v>182</v>
      </c>
      <c r="BE185" s="11">
        <v>122</v>
      </c>
      <c r="BF185" s="11">
        <v>2</v>
      </c>
      <c r="BG185" s="11">
        <v>5</v>
      </c>
      <c r="BH185" s="11">
        <v>2</v>
      </c>
    </row>
    <row r="186" spans="47:60" x14ac:dyDescent="0.25">
      <c r="AU186" s="15"/>
      <c r="AV186" s="21"/>
      <c r="AW186" s="108"/>
      <c r="AX186" s="108"/>
      <c r="AZ186" s="130"/>
      <c r="BA186" s="11"/>
      <c r="BB186" s="11"/>
      <c r="BD186" s="11">
        <v>183</v>
      </c>
      <c r="BE186" s="11">
        <v>123</v>
      </c>
      <c r="BF186" s="11">
        <v>5</v>
      </c>
      <c r="BG186" s="11">
        <v>2</v>
      </c>
      <c r="BH186" s="11">
        <v>2</v>
      </c>
    </row>
    <row r="187" spans="47:60" x14ac:dyDescent="0.25">
      <c r="AU187" s="15"/>
      <c r="AV187" s="20"/>
      <c r="AW187" s="108"/>
      <c r="AX187" s="108"/>
      <c r="AZ187" s="130"/>
      <c r="BA187" s="11"/>
      <c r="BB187" s="11"/>
      <c r="BD187" s="11">
        <v>184</v>
      </c>
      <c r="BE187" s="11">
        <v>124</v>
      </c>
      <c r="BF187" s="11">
        <v>4</v>
      </c>
      <c r="BG187" s="11">
        <v>5</v>
      </c>
      <c r="BH187" s="11">
        <v>5</v>
      </c>
    </row>
    <row r="188" spans="47:60" x14ac:dyDescent="0.25">
      <c r="AU188" s="15"/>
      <c r="AV188" s="20"/>
      <c r="AW188" s="108"/>
      <c r="AX188" s="108"/>
      <c r="AZ188" s="130"/>
      <c r="BA188" s="11"/>
      <c r="BB188" s="11"/>
      <c r="BD188" s="11">
        <v>185</v>
      </c>
      <c r="BE188" s="11">
        <v>125</v>
      </c>
      <c r="BF188" s="11">
        <v>3</v>
      </c>
      <c r="BG188" s="11">
        <v>6</v>
      </c>
      <c r="BH188" s="11">
        <v>7</v>
      </c>
    </row>
    <row r="189" spans="47:60" x14ac:dyDescent="0.25">
      <c r="AU189" s="15"/>
      <c r="AV189" s="21"/>
      <c r="AW189" s="108"/>
      <c r="AX189" s="108"/>
      <c r="AZ189" s="130"/>
      <c r="BA189" s="11"/>
      <c r="BB189" s="11"/>
      <c r="BD189" s="11">
        <v>186</v>
      </c>
      <c r="BE189" s="11">
        <v>125</v>
      </c>
      <c r="BF189" s="11">
        <v>9</v>
      </c>
      <c r="BG189" s="11">
        <v>6</v>
      </c>
      <c r="BH189" s="11">
        <v>7</v>
      </c>
    </row>
    <row r="190" spans="47:60" x14ac:dyDescent="0.25">
      <c r="AU190" s="15"/>
      <c r="AV190" s="21"/>
      <c r="AW190" s="108"/>
      <c r="AX190" s="108"/>
      <c r="AZ190" s="130"/>
      <c r="BA190" s="11"/>
      <c r="BB190" s="11"/>
      <c r="BD190" s="11">
        <v>187</v>
      </c>
      <c r="BE190" s="11">
        <v>126</v>
      </c>
      <c r="BF190" s="11">
        <v>2</v>
      </c>
      <c r="BG190" s="11">
        <v>5</v>
      </c>
      <c r="BH190" s="11">
        <v>7</v>
      </c>
    </row>
    <row r="191" spans="47:60" x14ac:dyDescent="0.25">
      <c r="AU191" s="15"/>
      <c r="AV191" s="21"/>
      <c r="AW191" s="108"/>
      <c r="AX191" s="108"/>
      <c r="AZ191" s="130"/>
      <c r="BA191" s="11"/>
      <c r="BB191" s="11"/>
      <c r="BD191" s="11">
        <v>188</v>
      </c>
      <c r="BE191" s="11">
        <v>126</v>
      </c>
      <c r="BF191" s="11">
        <v>11</v>
      </c>
      <c r="BG191" s="11">
        <v>5</v>
      </c>
      <c r="BH191" s="11">
        <v>7</v>
      </c>
    </row>
    <row r="192" spans="47:60" x14ac:dyDescent="0.25">
      <c r="AU192" s="15"/>
      <c r="AV192" s="20"/>
      <c r="AW192" s="108"/>
      <c r="AX192" s="108"/>
      <c r="AZ192" s="130"/>
      <c r="BA192" s="11"/>
      <c r="BB192" s="11"/>
      <c r="BD192" s="11">
        <v>189</v>
      </c>
      <c r="BE192" s="11">
        <v>127</v>
      </c>
      <c r="BF192" s="11">
        <v>1</v>
      </c>
      <c r="BG192" s="11">
        <v>4</v>
      </c>
      <c r="BH192" s="11">
        <v>7</v>
      </c>
    </row>
    <row r="193" spans="47:60" x14ac:dyDescent="0.25">
      <c r="AU193" s="15"/>
      <c r="AV193" s="20"/>
      <c r="AW193" s="108"/>
      <c r="AX193" s="108"/>
      <c r="AZ193" s="130"/>
      <c r="BA193" s="11"/>
      <c r="BB193" s="11"/>
      <c r="BD193" s="11">
        <v>190</v>
      </c>
      <c r="BE193" s="11">
        <v>127</v>
      </c>
      <c r="BF193" s="11">
        <v>3</v>
      </c>
      <c r="BG193" s="11">
        <v>4</v>
      </c>
      <c r="BH193" s="11">
        <v>7</v>
      </c>
    </row>
    <row r="194" spans="47:60" x14ac:dyDescent="0.25">
      <c r="AU194" s="15"/>
      <c r="AV194" s="21"/>
      <c r="AW194" s="108"/>
      <c r="AX194" s="108"/>
      <c r="AZ194" s="130"/>
      <c r="BA194" s="11"/>
      <c r="BB194" s="11"/>
      <c r="BD194" s="11">
        <v>191</v>
      </c>
      <c r="BE194" s="11">
        <v>128</v>
      </c>
      <c r="BF194" s="11">
        <v>6</v>
      </c>
      <c r="BG194" s="11">
        <v>5</v>
      </c>
      <c r="BH194" s="11">
        <v>5</v>
      </c>
    </row>
    <row r="195" spans="47:60" x14ac:dyDescent="0.25">
      <c r="AU195" s="15"/>
      <c r="AV195" s="21"/>
      <c r="AW195" s="108"/>
      <c r="AX195" s="108"/>
      <c r="AZ195" s="130"/>
      <c r="BA195" s="11"/>
      <c r="BB195" s="11"/>
      <c r="BD195" s="11">
        <v>192</v>
      </c>
      <c r="BE195" s="11">
        <v>128</v>
      </c>
      <c r="BF195" s="11">
        <v>8</v>
      </c>
      <c r="BG195" s="11">
        <v>5</v>
      </c>
      <c r="BH195" s="11">
        <v>5</v>
      </c>
    </row>
    <row r="196" spans="47:60" x14ac:dyDescent="0.25">
      <c r="AU196" s="15"/>
      <c r="AV196" s="21"/>
      <c r="AW196" s="108"/>
      <c r="AX196" s="108"/>
      <c r="AZ196" s="130"/>
      <c r="BA196" s="11"/>
      <c r="BB196" s="11"/>
      <c r="BD196" s="11">
        <v>193</v>
      </c>
      <c r="BE196" s="11">
        <v>129</v>
      </c>
      <c r="BF196" s="11">
        <v>1</v>
      </c>
      <c r="BG196" s="11">
        <v>5</v>
      </c>
      <c r="BH196" s="11">
        <v>1</v>
      </c>
    </row>
    <row r="197" spans="47:60" x14ac:dyDescent="0.25">
      <c r="AU197" s="15"/>
      <c r="AV197" s="20"/>
      <c r="AW197" s="108"/>
      <c r="AX197" s="108"/>
      <c r="AZ197" s="130"/>
      <c r="BA197" s="11"/>
      <c r="BB197" s="11"/>
      <c r="BD197" s="11">
        <v>194</v>
      </c>
      <c r="BE197" s="11">
        <v>129</v>
      </c>
      <c r="BF197" s="11">
        <v>4</v>
      </c>
      <c r="BG197" s="11">
        <v>5</v>
      </c>
      <c r="BH197" s="11">
        <v>1</v>
      </c>
    </row>
    <row r="198" spans="47:60" x14ac:dyDescent="0.25">
      <c r="AU198" s="15"/>
      <c r="AV198" s="20"/>
      <c r="AW198" s="108"/>
      <c r="AX198" s="108"/>
      <c r="AZ198" s="130"/>
      <c r="BA198" s="11"/>
      <c r="BB198" s="11"/>
      <c r="BD198" s="11">
        <v>195</v>
      </c>
      <c r="BE198" s="11">
        <v>130</v>
      </c>
      <c r="BF198" s="11">
        <v>6</v>
      </c>
      <c r="BG198" s="11">
        <v>1</v>
      </c>
      <c r="BH198" s="11">
        <v>7</v>
      </c>
    </row>
    <row r="199" spans="47:60" x14ac:dyDescent="0.25">
      <c r="AU199" s="15"/>
      <c r="AV199" s="21"/>
      <c r="AW199" s="108"/>
      <c r="AX199" s="108"/>
      <c r="AZ199" s="130"/>
      <c r="BA199" s="11"/>
      <c r="BB199" s="11"/>
      <c r="BD199" s="11">
        <v>196</v>
      </c>
      <c r="BE199" s="11">
        <v>130</v>
      </c>
      <c r="BF199" s="11">
        <v>9</v>
      </c>
      <c r="BG199" s="11">
        <v>1</v>
      </c>
      <c r="BH199" s="11">
        <v>7</v>
      </c>
    </row>
    <row r="200" spans="47:60" x14ac:dyDescent="0.25">
      <c r="AU200" s="15"/>
      <c r="AV200" s="21"/>
      <c r="AW200" s="108"/>
      <c r="AX200" s="108"/>
      <c r="AZ200" s="130"/>
      <c r="BA200" s="11"/>
      <c r="BB200" s="11"/>
      <c r="BD200" s="11">
        <v>197</v>
      </c>
      <c r="BE200" s="11">
        <v>131</v>
      </c>
      <c r="BF200" s="11">
        <v>1</v>
      </c>
      <c r="BG200" s="11">
        <v>1</v>
      </c>
      <c r="BH200" s="11">
        <v>2</v>
      </c>
    </row>
    <row r="201" spans="47:60" x14ac:dyDescent="0.25">
      <c r="AU201" s="15"/>
      <c r="AV201" s="21"/>
      <c r="AW201" s="108"/>
      <c r="AX201" s="108"/>
      <c r="AZ201" s="130"/>
      <c r="BA201" s="11"/>
      <c r="BB201" s="11"/>
      <c r="BD201" s="11">
        <v>198</v>
      </c>
      <c r="BE201" s="11">
        <v>131</v>
      </c>
      <c r="BF201" s="11">
        <v>4</v>
      </c>
      <c r="BG201" s="11">
        <v>1</v>
      </c>
      <c r="BH201" s="11">
        <v>2</v>
      </c>
    </row>
    <row r="202" spans="47:60" x14ac:dyDescent="0.25">
      <c r="AU202" s="15"/>
      <c r="AV202" s="20"/>
      <c r="AW202" s="108"/>
      <c r="AX202" s="108"/>
      <c r="AZ202" s="130"/>
      <c r="BA202" s="11"/>
      <c r="BB202" s="11"/>
      <c r="BD202" s="11">
        <v>199</v>
      </c>
      <c r="BE202" s="11">
        <v>132</v>
      </c>
      <c r="BF202" s="11">
        <v>13</v>
      </c>
      <c r="BG202" s="11">
        <v>3</v>
      </c>
      <c r="BH202" s="11">
        <v>5</v>
      </c>
    </row>
    <row r="203" spans="47:60" x14ac:dyDescent="0.25">
      <c r="AU203" s="15"/>
      <c r="AV203" s="20"/>
      <c r="AW203" s="108"/>
      <c r="AX203" s="108"/>
      <c r="AZ203" s="130"/>
      <c r="BA203" s="11"/>
      <c r="BB203" s="11"/>
      <c r="BD203" s="11">
        <v>200</v>
      </c>
      <c r="BE203" s="11">
        <v>132</v>
      </c>
      <c r="BF203" s="11">
        <v>15</v>
      </c>
      <c r="BG203" s="11">
        <v>3</v>
      </c>
      <c r="BH203" s="11">
        <v>5</v>
      </c>
    </row>
    <row r="204" spans="47:60" x14ac:dyDescent="0.25">
      <c r="AU204" s="11"/>
      <c r="AV204" s="11"/>
      <c r="AW204" s="11"/>
      <c r="AX204" s="11"/>
      <c r="AZ204" s="130"/>
      <c r="BA204" s="11"/>
      <c r="BB204" s="11"/>
      <c r="BD204" s="11">
        <v>201</v>
      </c>
      <c r="BE204" s="11">
        <v>133</v>
      </c>
      <c r="BF204" s="11">
        <v>1</v>
      </c>
      <c r="BG204" s="11">
        <v>4</v>
      </c>
      <c r="BH204" s="11">
        <v>6</v>
      </c>
    </row>
    <row r="205" spans="47:60" x14ac:dyDescent="0.25">
      <c r="AU205" s="11"/>
      <c r="AV205" s="11"/>
      <c r="AW205" s="11"/>
      <c r="AX205" s="11"/>
      <c r="AZ205" s="130"/>
      <c r="BA205" s="11"/>
      <c r="BB205" s="11"/>
      <c r="BD205" s="11">
        <v>202</v>
      </c>
      <c r="BE205" s="11">
        <v>134</v>
      </c>
      <c r="BF205" s="11">
        <v>4</v>
      </c>
      <c r="BG205" s="11">
        <v>2</v>
      </c>
      <c r="BH205" s="11">
        <v>3</v>
      </c>
    </row>
    <row r="206" spans="47:60" x14ac:dyDescent="0.25">
      <c r="AU206" s="11"/>
      <c r="AV206" s="11"/>
      <c r="AW206" s="11"/>
      <c r="AX206" s="11"/>
      <c r="AZ206" s="130"/>
      <c r="BA206" s="11"/>
      <c r="BB206" s="11"/>
      <c r="BD206" s="11">
        <v>203</v>
      </c>
      <c r="BE206" s="11">
        <v>135</v>
      </c>
      <c r="BF206" s="11">
        <v>5</v>
      </c>
      <c r="BG206" s="11">
        <v>4</v>
      </c>
      <c r="BH206" s="11">
        <v>4</v>
      </c>
    </row>
    <row r="207" spans="47:60" x14ac:dyDescent="0.25">
      <c r="AU207" s="11"/>
      <c r="AV207" s="11"/>
      <c r="AW207" s="11"/>
      <c r="AX207" s="11"/>
      <c r="AZ207" s="130"/>
      <c r="BA207" s="11"/>
      <c r="BB207" s="11"/>
      <c r="BD207" s="11">
        <v>204</v>
      </c>
      <c r="BE207" s="11">
        <v>136</v>
      </c>
      <c r="BF207" s="11">
        <v>4</v>
      </c>
      <c r="BG207" s="11">
        <v>2</v>
      </c>
      <c r="BH207" s="11">
        <v>6</v>
      </c>
    </row>
    <row r="208" spans="47:60" x14ac:dyDescent="0.25">
      <c r="AU208" s="11"/>
      <c r="AV208" s="11"/>
      <c r="AW208" s="11"/>
      <c r="AX208" s="11"/>
      <c r="AZ208" s="130"/>
      <c r="BA208" s="11"/>
      <c r="BB208" s="11"/>
      <c r="BD208" s="11">
        <v>205</v>
      </c>
      <c r="BE208" s="11">
        <v>137</v>
      </c>
      <c r="BF208" s="11">
        <v>3</v>
      </c>
      <c r="BG208" s="11">
        <v>2</v>
      </c>
      <c r="BH208" s="11">
        <v>7</v>
      </c>
    </row>
    <row r="209" spans="47:60" x14ac:dyDescent="0.25">
      <c r="AU209" s="11"/>
      <c r="AV209" s="11"/>
      <c r="AW209" s="11"/>
      <c r="AX209" s="11"/>
      <c r="AZ209" s="130"/>
      <c r="BA209" s="11"/>
      <c r="BB209" s="11"/>
      <c r="BD209" s="11">
        <v>206</v>
      </c>
      <c r="BE209" s="11">
        <v>138</v>
      </c>
      <c r="BF209" s="11">
        <v>1</v>
      </c>
      <c r="BG209" s="11">
        <v>3</v>
      </c>
      <c r="BH209" s="11">
        <v>1</v>
      </c>
    </row>
    <row r="210" spans="47:60" x14ac:dyDescent="0.25">
      <c r="AU210" s="11"/>
      <c r="AV210" s="11"/>
      <c r="AW210" s="11"/>
      <c r="AX210" s="11"/>
      <c r="AZ210" s="130"/>
      <c r="BA210" s="11"/>
      <c r="BB210" s="11"/>
      <c r="BD210" s="11">
        <v>207</v>
      </c>
      <c r="BE210" s="11">
        <v>138</v>
      </c>
      <c r="BF210" s="11">
        <v>5</v>
      </c>
      <c r="BG210" s="11">
        <v>3</v>
      </c>
      <c r="BH210" s="11">
        <v>1</v>
      </c>
    </row>
    <row r="211" spans="47:60" x14ac:dyDescent="0.25">
      <c r="AU211" s="11"/>
      <c r="AV211" s="11"/>
      <c r="AW211" s="11"/>
      <c r="AX211" s="11"/>
      <c r="AZ211" s="130"/>
      <c r="BA211" s="11"/>
      <c r="BB211" s="11"/>
      <c r="BD211" s="11">
        <v>208</v>
      </c>
      <c r="BE211" s="11">
        <v>139</v>
      </c>
      <c r="BF211" s="11">
        <v>3</v>
      </c>
      <c r="BG211" s="11">
        <v>2</v>
      </c>
      <c r="BH211" s="11">
        <v>4</v>
      </c>
    </row>
    <row r="212" spans="47:60" x14ac:dyDescent="0.25">
      <c r="AU212" s="11"/>
      <c r="AV212" s="11"/>
      <c r="AW212" s="11"/>
      <c r="AX212" s="11"/>
      <c r="AZ212" s="130"/>
      <c r="BA212" s="11"/>
      <c r="BB212" s="11"/>
      <c r="BD212" s="11">
        <v>209</v>
      </c>
      <c r="BE212" s="11">
        <v>139</v>
      </c>
      <c r="BF212" s="11">
        <v>5</v>
      </c>
      <c r="BG212" s="11">
        <v>2</v>
      </c>
      <c r="BH212" s="11">
        <v>4</v>
      </c>
    </row>
    <row r="213" spans="47:60" x14ac:dyDescent="0.25">
      <c r="AU213" s="11"/>
      <c r="AV213" s="11"/>
      <c r="AW213" s="11"/>
      <c r="AX213" s="11"/>
      <c r="AZ213" s="130"/>
      <c r="BA213" s="11"/>
      <c r="BB213" s="11"/>
      <c r="BD213" s="11">
        <v>210</v>
      </c>
      <c r="BE213" s="11">
        <v>140</v>
      </c>
      <c r="BF213" s="11">
        <v>1</v>
      </c>
      <c r="BG213" s="11">
        <v>7</v>
      </c>
      <c r="BH213" s="11">
        <v>1</v>
      </c>
    </row>
    <row r="214" spans="47:60" x14ac:dyDescent="0.25">
      <c r="AU214" s="11"/>
      <c r="AV214" s="11"/>
      <c r="AW214" s="11"/>
      <c r="AX214" s="11"/>
      <c r="AZ214" s="130"/>
      <c r="BA214" s="11"/>
      <c r="BB214" s="11"/>
      <c r="BD214" s="11">
        <v>211</v>
      </c>
      <c r="BE214" s="11">
        <v>140</v>
      </c>
      <c r="BF214" s="11">
        <v>3</v>
      </c>
      <c r="BG214" s="11">
        <v>7</v>
      </c>
      <c r="BH214" s="11">
        <v>1</v>
      </c>
    </row>
    <row r="215" spans="47:60" x14ac:dyDescent="0.25">
      <c r="AU215" s="11"/>
      <c r="AV215" s="11"/>
      <c r="AW215" s="11"/>
      <c r="AX215" s="11"/>
      <c r="AZ215" s="130"/>
      <c r="BA215" s="11"/>
      <c r="BB215" s="11"/>
      <c r="BD215" s="11">
        <v>212</v>
      </c>
      <c r="BE215" s="11">
        <v>141</v>
      </c>
      <c r="BF215" s="11">
        <v>13</v>
      </c>
      <c r="BG215" s="11">
        <v>5</v>
      </c>
      <c r="BH215" s="11">
        <v>2</v>
      </c>
    </row>
    <row r="216" spans="47:60" x14ac:dyDescent="0.25">
      <c r="AU216" s="11"/>
      <c r="AV216" s="11"/>
      <c r="AW216" s="11"/>
      <c r="AX216" s="11"/>
      <c r="AZ216" s="130"/>
      <c r="BA216" s="11"/>
      <c r="BB216" s="11"/>
      <c r="BD216" s="11">
        <v>213</v>
      </c>
      <c r="BE216" s="11">
        <v>141</v>
      </c>
      <c r="BF216" s="11">
        <v>15</v>
      </c>
      <c r="BG216" s="11">
        <v>5</v>
      </c>
      <c r="BH216" s="11">
        <v>2</v>
      </c>
    </row>
    <row r="217" spans="47:60" x14ac:dyDescent="0.25">
      <c r="AU217" s="11"/>
      <c r="AV217" s="11"/>
      <c r="AW217" s="11"/>
      <c r="AX217" s="11"/>
      <c r="AZ217" s="130"/>
      <c r="BA217" s="11"/>
      <c r="BB217" s="11"/>
      <c r="BD217" s="11">
        <v>214</v>
      </c>
      <c r="BE217" s="11">
        <v>142</v>
      </c>
      <c r="BF217" s="11">
        <v>12</v>
      </c>
      <c r="BG217" s="11">
        <v>6</v>
      </c>
      <c r="BH217" s="11">
        <v>3</v>
      </c>
    </row>
    <row r="218" spans="47:60" x14ac:dyDescent="0.25">
      <c r="AU218" s="11"/>
      <c r="AV218" s="11"/>
      <c r="AW218" s="11"/>
      <c r="AX218" s="11"/>
      <c r="AZ218" s="130"/>
      <c r="BA218" s="11"/>
      <c r="BB218" s="11"/>
      <c r="BD218" s="11">
        <v>215</v>
      </c>
      <c r="BE218" s="11">
        <v>142</v>
      </c>
      <c r="BF218" s="11">
        <v>15</v>
      </c>
      <c r="BG218" s="11">
        <v>6</v>
      </c>
      <c r="BH218" s="11">
        <v>3</v>
      </c>
    </row>
    <row r="219" spans="47:60" x14ac:dyDescent="0.25">
      <c r="AU219" s="11"/>
      <c r="AV219" s="11"/>
      <c r="AW219" s="11"/>
      <c r="AX219" s="11"/>
      <c r="AZ219" s="130"/>
      <c r="BA219" s="11"/>
      <c r="BB219" s="11"/>
      <c r="BD219" s="11">
        <v>216</v>
      </c>
      <c r="BE219" s="11">
        <v>143</v>
      </c>
      <c r="BF219" s="11">
        <v>2</v>
      </c>
      <c r="BG219" s="11">
        <v>3</v>
      </c>
      <c r="BH219" s="11">
        <v>4</v>
      </c>
    </row>
    <row r="220" spans="47:60" x14ac:dyDescent="0.25">
      <c r="AU220" s="11"/>
      <c r="AV220" s="11"/>
      <c r="AW220" s="11"/>
      <c r="AX220" s="11"/>
      <c r="AZ220" s="130"/>
      <c r="BA220" s="11"/>
      <c r="BB220" s="11"/>
      <c r="BD220" s="11">
        <v>217</v>
      </c>
      <c r="BE220" s="11">
        <v>144</v>
      </c>
      <c r="BF220" s="11">
        <v>2</v>
      </c>
      <c r="BG220" s="11">
        <v>8</v>
      </c>
      <c r="BH220" s="11">
        <v>1</v>
      </c>
    </row>
    <row r="221" spans="47:60" x14ac:dyDescent="0.25">
      <c r="AU221" s="11"/>
      <c r="AV221" s="11"/>
      <c r="AW221" s="11"/>
      <c r="AX221" s="11"/>
      <c r="AZ221" s="130"/>
      <c r="BA221" s="11"/>
      <c r="BB221" s="11"/>
      <c r="BD221" s="11">
        <v>218</v>
      </c>
      <c r="BE221" s="11">
        <v>145</v>
      </c>
      <c r="BF221" s="11">
        <v>2</v>
      </c>
      <c r="BG221" s="11">
        <v>8</v>
      </c>
      <c r="BH221" s="11">
        <v>3</v>
      </c>
    </row>
    <row r="222" spans="47:60" x14ac:dyDescent="0.25">
      <c r="AU222" s="11"/>
      <c r="AV222" s="11"/>
      <c r="AW222" s="11"/>
      <c r="AX222" s="11"/>
      <c r="AZ222" s="130"/>
      <c r="BA222" s="11"/>
      <c r="BB222" s="11"/>
      <c r="BD222" s="11">
        <v>219</v>
      </c>
      <c r="BE222" s="11">
        <v>145</v>
      </c>
      <c r="BF222" s="11">
        <v>3</v>
      </c>
      <c r="BG222" s="11">
        <v>8</v>
      </c>
      <c r="BH222" s="11">
        <v>3</v>
      </c>
    </row>
    <row r="223" spans="47:60" x14ac:dyDescent="0.25">
      <c r="AU223" s="11"/>
      <c r="AV223" s="11"/>
      <c r="AW223" s="11"/>
      <c r="AX223" s="11"/>
      <c r="AZ223" s="130"/>
      <c r="BA223" s="11"/>
      <c r="BB223" s="11"/>
      <c r="BD223" s="11">
        <v>220</v>
      </c>
      <c r="BE223" s="11">
        <v>146</v>
      </c>
      <c r="BF223" s="11">
        <v>5</v>
      </c>
      <c r="BG223" s="11">
        <v>3</v>
      </c>
      <c r="BH223" s="11">
        <v>7</v>
      </c>
    </row>
    <row r="224" spans="47:60" x14ac:dyDescent="0.25">
      <c r="AU224" s="11"/>
      <c r="AV224" s="11"/>
      <c r="AW224" s="11"/>
      <c r="AX224" s="11"/>
      <c r="AZ224" s="130"/>
      <c r="BA224" s="11"/>
      <c r="BB224" s="11"/>
      <c r="BD224" s="11">
        <v>221</v>
      </c>
      <c r="BE224" s="11">
        <v>147</v>
      </c>
      <c r="BF224" s="11">
        <v>1</v>
      </c>
      <c r="BG224" s="11">
        <v>2</v>
      </c>
      <c r="BH224" s="11">
        <v>5</v>
      </c>
    </row>
    <row r="225" spans="47:60" x14ac:dyDescent="0.25">
      <c r="AU225" s="11"/>
      <c r="AV225" s="11"/>
      <c r="AW225" s="11"/>
      <c r="AX225" s="11"/>
      <c r="AZ225" s="130"/>
      <c r="BA225" s="11"/>
      <c r="BB225" s="11"/>
      <c r="BD225" s="11">
        <v>222</v>
      </c>
      <c r="BE225" s="11">
        <v>148</v>
      </c>
      <c r="BF225" s="11">
        <v>5</v>
      </c>
      <c r="BG225" s="11">
        <v>5</v>
      </c>
      <c r="BH225" s="11">
        <v>4</v>
      </c>
    </row>
    <row r="226" spans="47:60" x14ac:dyDescent="0.25">
      <c r="AU226" s="11"/>
      <c r="AV226" s="11"/>
      <c r="AW226" s="11"/>
      <c r="AX226" s="11"/>
      <c r="AZ226" s="130"/>
      <c r="BA226" s="11"/>
      <c r="BB226" s="11"/>
      <c r="BD226" s="11">
        <v>223</v>
      </c>
      <c r="BE226" s="11">
        <v>149</v>
      </c>
      <c r="BF226" s="11">
        <v>2</v>
      </c>
      <c r="BG226" s="11">
        <v>8</v>
      </c>
      <c r="BH226" s="11">
        <v>6</v>
      </c>
    </row>
    <row r="227" spans="47:60" x14ac:dyDescent="0.25">
      <c r="AU227" s="11"/>
      <c r="AV227" s="11"/>
      <c r="AW227" s="11"/>
      <c r="AX227" s="11"/>
      <c r="AZ227" s="130"/>
      <c r="BA227" s="11"/>
      <c r="BB227" s="11"/>
      <c r="BD227" s="11">
        <v>224</v>
      </c>
      <c r="BE227" s="11">
        <v>150</v>
      </c>
      <c r="BF227" s="11">
        <v>4</v>
      </c>
      <c r="BG227" s="11">
        <v>3</v>
      </c>
      <c r="BH227" s="11">
        <v>7</v>
      </c>
    </row>
    <row r="228" spans="47:60" x14ac:dyDescent="0.25">
      <c r="AU228" s="11"/>
      <c r="AV228" s="11"/>
      <c r="AW228" s="11"/>
      <c r="AX228" s="11"/>
      <c r="AZ228" s="130"/>
      <c r="BA228" s="11"/>
      <c r="BB228" s="11"/>
      <c r="BD228" s="11">
        <v>225</v>
      </c>
      <c r="BE228" s="11">
        <v>150</v>
      </c>
      <c r="BF228" s="11">
        <v>7</v>
      </c>
      <c r="BG228" s="11">
        <v>3</v>
      </c>
      <c r="BH228" s="11">
        <v>7</v>
      </c>
    </row>
    <row r="229" spans="47:60" x14ac:dyDescent="0.25">
      <c r="AU229" s="11"/>
      <c r="AV229" s="11"/>
      <c r="AW229" s="11"/>
      <c r="AX229" s="11"/>
      <c r="AZ229" s="130"/>
      <c r="BA229" s="11"/>
      <c r="BB229" s="11"/>
      <c r="BD229" s="11">
        <v>226</v>
      </c>
      <c r="BE229" s="11">
        <v>151</v>
      </c>
      <c r="BF229" s="11">
        <v>1</v>
      </c>
      <c r="BG229" s="11">
        <v>2</v>
      </c>
      <c r="BH229" s="11">
        <v>1</v>
      </c>
    </row>
    <row r="230" spans="47:60" x14ac:dyDescent="0.25">
      <c r="AU230" s="11"/>
      <c r="AV230" s="11"/>
      <c r="AW230" s="11"/>
      <c r="AX230" s="11"/>
      <c r="AZ230" s="130"/>
      <c r="BA230" s="11"/>
      <c r="BB230" s="11"/>
      <c r="BD230" s="11">
        <v>227</v>
      </c>
      <c r="BE230" s="11">
        <v>151</v>
      </c>
      <c r="BF230" s="11">
        <v>5</v>
      </c>
      <c r="BG230" s="11">
        <v>2</v>
      </c>
      <c r="BH230" s="11">
        <v>1</v>
      </c>
    </row>
    <row r="231" spans="47:60" x14ac:dyDescent="0.25">
      <c r="AU231" s="11"/>
      <c r="AV231" s="11"/>
      <c r="AW231" s="11"/>
      <c r="AX231" s="11"/>
      <c r="AZ231" s="130"/>
      <c r="BA231" s="11"/>
      <c r="BB231" s="11"/>
      <c r="BD231" s="11">
        <v>228</v>
      </c>
      <c r="BE231" s="11">
        <v>152</v>
      </c>
      <c r="BF231" s="11">
        <v>1</v>
      </c>
      <c r="BG231" s="11">
        <v>1</v>
      </c>
      <c r="BH231" s="11">
        <v>2</v>
      </c>
    </row>
    <row r="232" spans="47:60" x14ac:dyDescent="0.25">
      <c r="AU232" s="11"/>
      <c r="AV232" s="11"/>
      <c r="AW232" s="11"/>
      <c r="AX232" s="11"/>
      <c r="AZ232" s="130"/>
      <c r="BA232" s="11"/>
      <c r="BB232" s="11"/>
      <c r="BD232" s="11">
        <v>229</v>
      </c>
      <c r="BE232" s="11">
        <v>152</v>
      </c>
      <c r="BF232" s="11">
        <v>7</v>
      </c>
      <c r="BG232" s="11">
        <v>1</v>
      </c>
      <c r="BH232" s="11">
        <v>2</v>
      </c>
    </row>
    <row r="233" spans="47:60" x14ac:dyDescent="0.25">
      <c r="AU233" s="11"/>
      <c r="AV233" s="11"/>
      <c r="AW233" s="11"/>
      <c r="AX233" s="11"/>
      <c r="AZ233" s="130"/>
      <c r="BA233" s="11"/>
      <c r="BB233" s="11"/>
      <c r="BD233" s="11">
        <v>230</v>
      </c>
      <c r="BE233" s="11">
        <v>153</v>
      </c>
      <c r="BF233" s="11">
        <v>1</v>
      </c>
      <c r="BG233" s="11">
        <v>1</v>
      </c>
      <c r="BH233" s="11">
        <v>6</v>
      </c>
    </row>
    <row r="234" spans="47:60" x14ac:dyDescent="0.25">
      <c r="AU234" s="11"/>
      <c r="AV234" s="11"/>
      <c r="AW234" s="11"/>
      <c r="AX234" s="11"/>
      <c r="AZ234" s="130"/>
      <c r="BA234" s="11"/>
      <c r="BB234" s="11"/>
      <c r="BD234" s="11">
        <v>231</v>
      </c>
      <c r="BE234" s="11">
        <v>153</v>
      </c>
      <c r="BF234" s="11">
        <v>3</v>
      </c>
      <c r="BG234" s="11">
        <v>1</v>
      </c>
      <c r="BH234" s="11">
        <v>6</v>
      </c>
    </row>
    <row r="235" spans="47:60" x14ac:dyDescent="0.25">
      <c r="AU235" s="11"/>
      <c r="AV235" s="11"/>
      <c r="AW235" s="11"/>
      <c r="AX235" s="11"/>
      <c r="AZ235" s="130"/>
      <c r="BA235" s="11"/>
      <c r="BB235" s="11"/>
      <c r="BD235" s="11">
        <v>232</v>
      </c>
      <c r="BE235" s="11">
        <v>154</v>
      </c>
      <c r="BF235" s="11">
        <v>5</v>
      </c>
      <c r="BG235" s="11">
        <v>6</v>
      </c>
      <c r="BH235" s="11">
        <v>7</v>
      </c>
    </row>
    <row r="236" spans="47:60" x14ac:dyDescent="0.25">
      <c r="AU236" s="11"/>
      <c r="AV236" s="11"/>
      <c r="AW236" s="11"/>
      <c r="AX236" s="11"/>
      <c r="AZ236" s="130"/>
      <c r="BA236" s="11"/>
      <c r="BB236" s="11"/>
      <c r="BD236" s="11">
        <v>233</v>
      </c>
      <c r="BE236" s="11">
        <v>155</v>
      </c>
      <c r="BF236" s="11">
        <v>5</v>
      </c>
      <c r="BG236" s="11">
        <v>5</v>
      </c>
      <c r="BH236" s="11">
        <v>7</v>
      </c>
    </row>
    <row r="237" spans="47:60" x14ac:dyDescent="0.25">
      <c r="AU237" s="11"/>
      <c r="AV237" s="11"/>
      <c r="AW237" s="11"/>
      <c r="AX237" s="11"/>
      <c r="AZ237" s="130"/>
      <c r="BA237" s="11"/>
      <c r="BB237" s="11"/>
      <c r="BD237" s="11">
        <v>234</v>
      </c>
      <c r="BE237" s="11">
        <v>156</v>
      </c>
      <c r="BF237" s="11">
        <v>4</v>
      </c>
      <c r="BG237" s="11">
        <v>4</v>
      </c>
      <c r="BH237" s="11">
        <v>7</v>
      </c>
    </row>
    <row r="238" spans="47:60" x14ac:dyDescent="0.25">
      <c r="AU238" s="11"/>
      <c r="AV238" s="11"/>
      <c r="AW238" s="11"/>
      <c r="AX238" s="11"/>
      <c r="AZ238" s="130"/>
      <c r="BA238" s="11"/>
      <c r="BB238" s="11"/>
      <c r="BD238" s="11">
        <v>235</v>
      </c>
      <c r="BE238" s="11">
        <v>156</v>
      </c>
      <c r="BF238" s="11">
        <v>5</v>
      </c>
      <c r="BG238" s="11">
        <v>4</v>
      </c>
      <c r="BH238" s="11">
        <v>7</v>
      </c>
    </row>
    <row r="239" spans="47:60" x14ac:dyDescent="0.25">
      <c r="AU239" s="11"/>
      <c r="AV239" s="11"/>
      <c r="AW239" s="11"/>
      <c r="AX239" s="11"/>
      <c r="AZ239" s="130"/>
      <c r="BA239" s="11"/>
      <c r="BB239" s="11"/>
      <c r="BD239" s="11">
        <v>236</v>
      </c>
      <c r="BE239" s="11">
        <v>157</v>
      </c>
      <c r="BF239" s="11">
        <v>4</v>
      </c>
      <c r="BG239" s="11">
        <v>7</v>
      </c>
      <c r="BH239" s="11">
        <v>5</v>
      </c>
    </row>
    <row r="240" spans="47:60" x14ac:dyDescent="0.25">
      <c r="AU240" s="11"/>
      <c r="AV240" s="11"/>
      <c r="AW240" s="11"/>
      <c r="AX240" s="11"/>
      <c r="AZ240" s="130"/>
      <c r="BA240" s="11"/>
      <c r="BB240" s="11"/>
      <c r="BD240" s="11">
        <v>237</v>
      </c>
      <c r="BE240" s="11">
        <v>158</v>
      </c>
      <c r="BF240" s="11">
        <v>1</v>
      </c>
      <c r="BG240" s="11">
        <v>4</v>
      </c>
      <c r="BH240" s="11">
        <v>4</v>
      </c>
    </row>
    <row r="241" spans="47:60" x14ac:dyDescent="0.25">
      <c r="AU241" s="11"/>
      <c r="AV241" s="11"/>
      <c r="AW241" s="11"/>
      <c r="AX241" s="11"/>
      <c r="AZ241" s="130"/>
      <c r="BA241" s="11"/>
      <c r="BB241" s="11"/>
      <c r="BD241" s="11">
        <v>238</v>
      </c>
      <c r="BE241" s="11">
        <v>159</v>
      </c>
      <c r="BF241" s="11">
        <v>3</v>
      </c>
      <c r="BG241" s="11">
        <v>7</v>
      </c>
      <c r="BH241" s="11">
        <v>1</v>
      </c>
    </row>
    <row r="242" spans="47:60" x14ac:dyDescent="0.25">
      <c r="AU242" s="11"/>
      <c r="AV242" s="11"/>
      <c r="AW242" s="11"/>
      <c r="AX242" s="11"/>
      <c r="AZ242" s="130"/>
      <c r="BA242" s="11"/>
      <c r="BB242" s="11"/>
      <c r="BD242" s="11">
        <v>239</v>
      </c>
      <c r="BE242" s="11">
        <v>160</v>
      </c>
      <c r="BF242" s="11">
        <v>5</v>
      </c>
      <c r="BG242" s="11">
        <v>5</v>
      </c>
      <c r="BH242" s="11">
        <v>3</v>
      </c>
    </row>
    <row r="243" spans="47:60" x14ac:dyDescent="0.25">
      <c r="AU243" s="11"/>
      <c r="AV243" s="11"/>
      <c r="AW243" s="11"/>
      <c r="AX243" s="11"/>
      <c r="AZ243" s="130"/>
      <c r="BA243" s="11"/>
      <c r="BB243" s="11"/>
      <c r="BD243" s="11">
        <v>240</v>
      </c>
      <c r="BE243" s="11">
        <v>161</v>
      </c>
      <c r="BF243" s="11">
        <v>1</v>
      </c>
      <c r="BG243" s="11">
        <v>6</v>
      </c>
      <c r="BH243" s="11">
        <v>3</v>
      </c>
    </row>
    <row r="244" spans="47:60" x14ac:dyDescent="0.25">
      <c r="AU244" s="11"/>
      <c r="AV244" s="11"/>
      <c r="AW244" s="11"/>
      <c r="AX244" s="11"/>
      <c r="AZ244" s="130"/>
      <c r="BA244" s="11"/>
      <c r="BB244" s="11"/>
      <c r="BD244" s="11">
        <v>241</v>
      </c>
      <c r="BE244" s="11">
        <v>162</v>
      </c>
      <c r="BF244" s="11">
        <v>3</v>
      </c>
      <c r="BG244" s="11">
        <v>6</v>
      </c>
      <c r="BH244" s="11">
        <v>4</v>
      </c>
    </row>
    <row r="245" spans="47:60" x14ac:dyDescent="0.25">
      <c r="AU245" s="11"/>
      <c r="AV245" s="11"/>
      <c r="AW245" s="11"/>
      <c r="AX245" s="11"/>
      <c r="AZ245" s="130"/>
      <c r="BA245" s="11"/>
      <c r="BB245" s="11"/>
      <c r="BD245" s="11">
        <v>242</v>
      </c>
      <c r="BE245" s="11">
        <v>163</v>
      </c>
      <c r="BF245" s="11">
        <v>2</v>
      </c>
      <c r="BG245" s="11">
        <v>4</v>
      </c>
      <c r="BH245" s="11">
        <v>6</v>
      </c>
    </row>
    <row r="246" spans="47:60" x14ac:dyDescent="0.25">
      <c r="AU246" s="11"/>
      <c r="AV246" s="11"/>
      <c r="AW246" s="11"/>
      <c r="AX246" s="11"/>
      <c r="AZ246" s="130"/>
      <c r="BA246" s="11"/>
      <c r="BB246" s="11"/>
      <c r="BD246" s="11">
        <v>243</v>
      </c>
      <c r="BE246" s="11">
        <v>164</v>
      </c>
      <c r="BF246" s="11">
        <v>3</v>
      </c>
      <c r="BG246" s="11">
        <v>5</v>
      </c>
      <c r="BH246" s="11">
        <v>2</v>
      </c>
    </row>
    <row r="247" spans="47:60" x14ac:dyDescent="0.25">
      <c r="AU247" s="11"/>
      <c r="AV247" s="11"/>
      <c r="AW247" s="11"/>
      <c r="AX247" s="11"/>
      <c r="AZ247" s="130"/>
      <c r="BA247" s="11"/>
      <c r="BB247" s="11"/>
      <c r="BD247" s="11">
        <v>244</v>
      </c>
      <c r="BE247" s="11">
        <v>165</v>
      </c>
      <c r="BF247" s="11">
        <v>3</v>
      </c>
      <c r="BG247" s="11">
        <v>5</v>
      </c>
      <c r="BH247" s="11">
        <v>5</v>
      </c>
    </row>
    <row r="248" spans="47:60" x14ac:dyDescent="0.25">
      <c r="AU248" s="11"/>
      <c r="AV248" s="11"/>
      <c r="AW248" s="11"/>
      <c r="AX248" s="11"/>
      <c r="AZ248" s="130"/>
      <c r="BA248" s="11"/>
      <c r="BB248" s="11"/>
      <c r="BD248" s="11">
        <v>245</v>
      </c>
      <c r="BE248" s="11">
        <v>166</v>
      </c>
      <c r="BF248" s="11">
        <v>2</v>
      </c>
      <c r="BG248" s="11">
        <v>6</v>
      </c>
      <c r="BH248" s="11">
        <v>5</v>
      </c>
    </row>
    <row r="249" spans="47:60" x14ac:dyDescent="0.25">
      <c r="AU249" s="11"/>
      <c r="AV249" s="11"/>
      <c r="AW249" s="11"/>
      <c r="AX249" s="11"/>
      <c r="AZ249" s="130"/>
      <c r="BA249" s="11"/>
      <c r="BB249" s="11"/>
      <c r="BD249" s="11">
        <v>246</v>
      </c>
      <c r="BE249" s="11">
        <v>167</v>
      </c>
      <c r="BF249" s="11">
        <v>2</v>
      </c>
      <c r="BG249" s="11">
        <v>2</v>
      </c>
      <c r="BH249" s="11">
        <v>5</v>
      </c>
    </row>
    <row r="250" spans="47:60" x14ac:dyDescent="0.25">
      <c r="AU250" s="11"/>
      <c r="AV250" s="11"/>
      <c r="AW250" s="11"/>
      <c r="AX250" s="11"/>
      <c r="AZ250" s="130"/>
      <c r="BA250" s="11"/>
      <c r="BB250" s="11"/>
      <c r="BD250" s="11">
        <v>247</v>
      </c>
      <c r="BE250" s="11">
        <v>168</v>
      </c>
      <c r="BF250" s="11">
        <v>13</v>
      </c>
      <c r="BG250" s="11">
        <v>5</v>
      </c>
      <c r="BH250" s="11">
        <v>1</v>
      </c>
    </row>
    <row r="251" spans="47:60" x14ac:dyDescent="0.25">
      <c r="BD251" s="11">
        <v>248</v>
      </c>
      <c r="BE251" s="11">
        <v>169</v>
      </c>
      <c r="BF251" s="11">
        <v>2</v>
      </c>
      <c r="BG251" s="11">
        <v>2</v>
      </c>
      <c r="BH251" s="11">
        <v>7</v>
      </c>
    </row>
    <row r="252" spans="47:60" x14ac:dyDescent="0.25">
      <c r="BD252" s="11">
        <v>249</v>
      </c>
      <c r="BE252" s="11">
        <v>170</v>
      </c>
      <c r="BF252" s="11">
        <v>8</v>
      </c>
      <c r="BG252" s="11">
        <v>6</v>
      </c>
      <c r="BH252" s="11">
        <v>7</v>
      </c>
    </row>
    <row r="253" spans="47:60" x14ac:dyDescent="0.25">
      <c r="BD253" s="11">
        <v>250</v>
      </c>
      <c r="BE253" s="11">
        <v>171</v>
      </c>
      <c r="BF253" s="11">
        <v>1</v>
      </c>
      <c r="BG253" s="11">
        <v>6</v>
      </c>
      <c r="BH253" s="11">
        <v>7</v>
      </c>
    </row>
  </sheetData>
  <mergeCells count="9">
    <mergeCell ref="F2:H2"/>
    <mergeCell ref="AZ1:BB1"/>
    <mergeCell ref="A1:B1"/>
    <mergeCell ref="J2:K2"/>
    <mergeCell ref="J25:K25"/>
    <mergeCell ref="M2:AB2"/>
    <mergeCell ref="AD2:AS2"/>
    <mergeCell ref="AU1:AX1"/>
    <mergeCell ref="AU2:AU3"/>
  </mergeCells>
  <hyperlinks>
    <hyperlink ref="AV166" r:id="rId1" display="http://egitimdeyapilanma.istanbul.edu.tr/izlence.php?id=26533" xr:uid="{00000000-0004-0000-0400-000000000000}"/>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W167"/>
  <sheetViews>
    <sheetView zoomScale="70" zoomScaleNormal="70" workbookViewId="0">
      <selection activeCell="E50" sqref="E50"/>
    </sheetView>
  </sheetViews>
  <sheetFormatPr defaultRowHeight="15" x14ac:dyDescent="0.25"/>
  <cols>
    <col min="2" max="6" width="25.5703125" bestFit="1" customWidth="1"/>
    <col min="7" max="7" width="19.7109375" bestFit="1" customWidth="1"/>
    <col min="8" max="9" width="25.5703125" bestFit="1" customWidth="1"/>
    <col min="10" max="10" width="2.28515625" bestFit="1" customWidth="1"/>
    <col min="11" max="11" width="3.42578125" bestFit="1" customWidth="1"/>
  </cols>
  <sheetData>
    <row r="1" spans="1:23" x14ac:dyDescent="0.25">
      <c r="A1" s="23" t="s">
        <v>17</v>
      </c>
      <c r="B1" s="22" t="s">
        <v>1</v>
      </c>
      <c r="C1" s="22"/>
      <c r="D1" s="22"/>
      <c r="E1" s="22"/>
      <c r="F1" s="22"/>
      <c r="G1" s="22"/>
      <c r="H1" s="22"/>
      <c r="I1" s="22"/>
      <c r="J1" s="22"/>
      <c r="K1" s="22"/>
      <c r="M1" s="23" t="s">
        <v>18</v>
      </c>
      <c r="N1" s="22" t="s">
        <v>1</v>
      </c>
      <c r="O1" s="22"/>
      <c r="P1" s="22"/>
      <c r="Q1" s="22"/>
      <c r="R1" s="22"/>
      <c r="S1" s="22"/>
      <c r="T1" s="22"/>
      <c r="U1" s="22"/>
      <c r="V1" s="22"/>
      <c r="W1" s="22"/>
    </row>
    <row r="2" spans="1:23" ht="27" customHeight="1" x14ac:dyDescent="0.25">
      <c r="A2" s="22" t="s">
        <v>2</v>
      </c>
      <c r="B2" s="26">
        <v>1</v>
      </c>
      <c r="C2" s="26">
        <v>2</v>
      </c>
      <c r="D2" s="26">
        <v>3</v>
      </c>
      <c r="E2" s="26">
        <v>4</v>
      </c>
      <c r="F2" s="26">
        <v>5</v>
      </c>
      <c r="G2" s="26">
        <v>6</v>
      </c>
      <c r="H2" s="26">
        <v>7</v>
      </c>
      <c r="I2" s="26">
        <v>8</v>
      </c>
      <c r="J2" s="26">
        <v>9</v>
      </c>
      <c r="K2" s="26">
        <v>10</v>
      </c>
      <c r="M2" s="22" t="s">
        <v>2</v>
      </c>
      <c r="N2" s="26">
        <v>1</v>
      </c>
      <c r="O2" s="26">
        <v>2</v>
      </c>
      <c r="P2" s="26">
        <v>3</v>
      </c>
      <c r="Q2" s="26">
        <v>4</v>
      </c>
      <c r="R2" s="26">
        <v>5</v>
      </c>
      <c r="S2" s="26">
        <v>6</v>
      </c>
      <c r="T2" s="26">
        <v>7</v>
      </c>
      <c r="U2" s="26">
        <v>8</v>
      </c>
      <c r="V2" s="26">
        <v>9</v>
      </c>
      <c r="W2" s="26">
        <v>10</v>
      </c>
    </row>
    <row r="3" spans="1:23" ht="105" x14ac:dyDescent="0.25">
      <c r="A3" s="24">
        <v>1</v>
      </c>
      <c r="B3" s="25" t="s">
        <v>625</v>
      </c>
      <c r="C3" s="25" t="s">
        <v>626</v>
      </c>
      <c r="D3" s="25" t="s">
        <v>627</v>
      </c>
      <c r="E3" s="25" t="s">
        <v>628</v>
      </c>
      <c r="F3" s="25"/>
      <c r="G3" s="25"/>
      <c r="H3" s="25" t="s">
        <v>629</v>
      </c>
      <c r="I3" s="25" t="s">
        <v>630</v>
      </c>
      <c r="M3" s="24">
        <v>1</v>
      </c>
      <c r="N3" s="25" t="s">
        <v>657</v>
      </c>
      <c r="O3" s="25" t="s">
        <v>609</v>
      </c>
      <c r="P3" s="25" t="s">
        <v>658</v>
      </c>
      <c r="Q3" s="25" t="s">
        <v>659</v>
      </c>
      <c r="R3" s="25"/>
      <c r="S3" s="25" t="s">
        <v>660</v>
      </c>
      <c r="T3" s="25" t="s">
        <v>661</v>
      </c>
      <c r="U3" s="25" t="s">
        <v>662</v>
      </c>
    </row>
    <row r="4" spans="1:23" ht="105" x14ac:dyDescent="0.25">
      <c r="A4" s="24">
        <v>2</v>
      </c>
      <c r="B4" s="25"/>
      <c r="C4" s="25" t="s">
        <v>631</v>
      </c>
      <c r="D4" s="25"/>
      <c r="E4" s="25"/>
      <c r="F4" s="25" t="s">
        <v>632</v>
      </c>
      <c r="G4" s="25"/>
      <c r="H4" s="25" t="s">
        <v>633</v>
      </c>
      <c r="I4" s="25" t="s">
        <v>634</v>
      </c>
      <c r="M4" s="24">
        <v>2</v>
      </c>
      <c r="N4" s="25" t="s">
        <v>663</v>
      </c>
      <c r="O4" s="25"/>
      <c r="P4" s="25"/>
      <c r="Q4" s="25" t="s">
        <v>627</v>
      </c>
      <c r="R4" s="25"/>
      <c r="S4" s="25" t="s">
        <v>664</v>
      </c>
      <c r="T4" s="25"/>
      <c r="U4" s="25" t="s">
        <v>665</v>
      </c>
    </row>
    <row r="5" spans="1:23" ht="105" x14ac:dyDescent="0.25">
      <c r="A5" s="24">
        <v>3</v>
      </c>
      <c r="B5" s="25"/>
      <c r="C5" s="25" t="s">
        <v>635</v>
      </c>
      <c r="D5" s="25" t="s">
        <v>636</v>
      </c>
      <c r="E5" s="25" t="s">
        <v>637</v>
      </c>
      <c r="F5" s="25" t="s">
        <v>638</v>
      </c>
      <c r="G5" s="25" t="s">
        <v>639</v>
      </c>
      <c r="H5" s="25"/>
      <c r="I5" s="25"/>
      <c r="M5" s="24">
        <v>3</v>
      </c>
      <c r="N5" s="25"/>
      <c r="O5" s="25" t="s">
        <v>616</v>
      </c>
      <c r="P5" s="25" t="s">
        <v>665</v>
      </c>
      <c r="Q5" s="25" t="s">
        <v>666</v>
      </c>
      <c r="R5" s="25" t="s">
        <v>597</v>
      </c>
      <c r="S5" s="25" t="s">
        <v>667</v>
      </c>
      <c r="T5" s="25"/>
      <c r="U5" s="25" t="s">
        <v>581</v>
      </c>
    </row>
    <row r="6" spans="1:23" ht="105" x14ac:dyDescent="0.25">
      <c r="A6" s="24">
        <v>4</v>
      </c>
      <c r="B6" s="25" t="s">
        <v>640</v>
      </c>
      <c r="C6" s="25" t="s">
        <v>641</v>
      </c>
      <c r="D6" s="25" t="s">
        <v>642</v>
      </c>
      <c r="E6" s="25" t="s">
        <v>643</v>
      </c>
      <c r="F6" s="25"/>
      <c r="G6" s="25"/>
      <c r="H6" s="25" t="s">
        <v>644</v>
      </c>
      <c r="I6" s="25" t="s">
        <v>645</v>
      </c>
      <c r="M6" s="24">
        <v>4</v>
      </c>
      <c r="N6" s="25"/>
      <c r="O6" s="25" t="s">
        <v>668</v>
      </c>
      <c r="P6" s="25" t="s">
        <v>669</v>
      </c>
      <c r="Q6" s="25" t="s">
        <v>670</v>
      </c>
      <c r="R6" s="25"/>
      <c r="S6" s="25"/>
      <c r="T6" s="25"/>
      <c r="U6" s="25" t="s">
        <v>671</v>
      </c>
    </row>
    <row r="7" spans="1:23" ht="90" x14ac:dyDescent="0.25">
      <c r="A7" s="24">
        <v>5</v>
      </c>
      <c r="B7" s="25" t="s">
        <v>646</v>
      </c>
      <c r="C7" s="25"/>
      <c r="D7" s="25" t="s">
        <v>647</v>
      </c>
      <c r="E7" s="25" t="s">
        <v>648</v>
      </c>
      <c r="F7" s="25"/>
      <c r="G7" s="25" t="s">
        <v>620</v>
      </c>
      <c r="H7" s="25"/>
      <c r="I7" s="25" t="s">
        <v>630</v>
      </c>
      <c r="M7" s="24">
        <v>5</v>
      </c>
      <c r="N7" s="25" t="s">
        <v>643</v>
      </c>
      <c r="O7" s="25"/>
      <c r="P7" s="25" t="s">
        <v>635</v>
      </c>
      <c r="Q7" s="25" t="s">
        <v>672</v>
      </c>
      <c r="R7" s="25" t="s">
        <v>673</v>
      </c>
      <c r="S7" s="25"/>
      <c r="T7" s="25"/>
      <c r="U7" s="25"/>
    </row>
    <row r="8" spans="1:23" ht="105" x14ac:dyDescent="0.25">
      <c r="A8" s="24">
        <v>6</v>
      </c>
      <c r="B8" s="25"/>
      <c r="C8" s="25"/>
      <c r="D8" s="25" t="s">
        <v>649</v>
      </c>
      <c r="E8" s="25" t="s">
        <v>650</v>
      </c>
      <c r="F8" s="25" t="s">
        <v>603</v>
      </c>
      <c r="G8" s="25" t="s">
        <v>622</v>
      </c>
      <c r="H8" s="25" t="s">
        <v>590</v>
      </c>
      <c r="I8" s="25" t="s">
        <v>651</v>
      </c>
      <c r="M8" s="24">
        <v>6</v>
      </c>
      <c r="N8" s="25"/>
      <c r="O8" s="25"/>
      <c r="P8" s="25" t="s">
        <v>674</v>
      </c>
      <c r="Q8" s="25" t="s">
        <v>675</v>
      </c>
      <c r="R8" s="25" t="s">
        <v>651</v>
      </c>
      <c r="S8" s="25" t="s">
        <v>676</v>
      </c>
      <c r="T8" s="25" t="s">
        <v>677</v>
      </c>
      <c r="U8" s="25" t="s">
        <v>583</v>
      </c>
    </row>
    <row r="9" spans="1:23" ht="90" x14ac:dyDescent="0.25">
      <c r="A9" s="24">
        <v>7</v>
      </c>
      <c r="B9" s="25"/>
      <c r="C9" s="25" t="s">
        <v>652</v>
      </c>
      <c r="D9" s="25" t="s">
        <v>653</v>
      </c>
      <c r="E9" s="25" t="s">
        <v>654</v>
      </c>
      <c r="F9" s="25" t="s">
        <v>655</v>
      </c>
      <c r="G9" s="25" t="s">
        <v>654</v>
      </c>
      <c r="H9" s="25" t="s">
        <v>656</v>
      </c>
      <c r="I9" s="25" t="s">
        <v>596</v>
      </c>
      <c r="M9" s="24">
        <v>7</v>
      </c>
      <c r="N9" s="25"/>
      <c r="O9" s="25" t="s">
        <v>678</v>
      </c>
      <c r="P9" s="25"/>
      <c r="Q9" s="25" t="s">
        <v>679</v>
      </c>
      <c r="R9" s="25" t="s">
        <v>680</v>
      </c>
      <c r="S9" s="25" t="s">
        <v>681</v>
      </c>
      <c r="T9" s="25" t="s">
        <v>682</v>
      </c>
      <c r="U9" s="25" t="s">
        <v>683</v>
      </c>
    </row>
    <row r="10" spans="1:23" x14ac:dyDescent="0.25">
      <c r="A10" s="24">
        <v>8</v>
      </c>
      <c r="B10" s="25"/>
      <c r="C10" s="25"/>
      <c r="D10" s="25"/>
      <c r="E10" s="25"/>
      <c r="F10" s="25"/>
      <c r="G10" s="25"/>
      <c r="H10" s="25"/>
      <c r="I10" s="25"/>
      <c r="M10" s="24">
        <v>8</v>
      </c>
      <c r="N10" s="25"/>
      <c r="O10" s="25"/>
      <c r="P10" s="25"/>
      <c r="Q10" s="25"/>
      <c r="R10" s="25"/>
      <c r="S10" s="25"/>
      <c r="T10" s="25"/>
      <c r="U10" s="25"/>
    </row>
    <row r="11" spans="1:23" x14ac:dyDescent="0.25">
      <c r="A11" s="24">
        <v>9</v>
      </c>
      <c r="B11" s="25"/>
      <c r="C11" s="25"/>
      <c r="D11" s="25"/>
      <c r="E11" s="25"/>
      <c r="G11" s="25"/>
      <c r="M11" s="24">
        <v>9</v>
      </c>
      <c r="N11" s="25"/>
      <c r="O11" s="25"/>
      <c r="P11" s="25"/>
      <c r="Q11" s="25"/>
      <c r="S11" s="25"/>
      <c r="T11" s="25"/>
    </row>
    <row r="12" spans="1:23" x14ac:dyDescent="0.25">
      <c r="A12" s="24">
        <v>10</v>
      </c>
      <c r="B12" s="25"/>
      <c r="C12" s="25"/>
      <c r="E12" s="25"/>
      <c r="H12" s="25"/>
      <c r="M12" s="24">
        <v>10</v>
      </c>
      <c r="N12" s="25"/>
      <c r="O12" s="25"/>
      <c r="Q12" s="25"/>
      <c r="R12" s="25"/>
      <c r="T12" s="25"/>
    </row>
    <row r="13" spans="1:23" x14ac:dyDescent="0.25">
      <c r="A13" s="24">
        <v>11</v>
      </c>
      <c r="H13" s="25"/>
      <c r="M13" s="24">
        <v>11</v>
      </c>
      <c r="R13" s="25"/>
      <c r="T13" s="25"/>
      <c r="U13" s="25"/>
    </row>
    <row r="14" spans="1:23" x14ac:dyDescent="0.25">
      <c r="A14" s="24">
        <v>12</v>
      </c>
      <c r="B14" s="25"/>
      <c r="C14" s="25"/>
      <c r="I14" s="25"/>
      <c r="M14" s="24">
        <v>12</v>
      </c>
      <c r="N14" s="25"/>
      <c r="O14" s="25"/>
      <c r="P14" s="25"/>
      <c r="R14" s="25"/>
      <c r="S14" s="25"/>
      <c r="T14" s="25"/>
      <c r="U14" s="25"/>
    </row>
    <row r="15" spans="1:23" x14ac:dyDescent="0.25">
      <c r="A15" s="24">
        <v>13</v>
      </c>
      <c r="B15" s="25"/>
      <c r="C15" s="25"/>
      <c r="I15" s="25"/>
      <c r="M15" s="24">
        <v>13</v>
      </c>
      <c r="N15" s="25"/>
      <c r="O15" s="25"/>
      <c r="P15" s="25"/>
      <c r="R15" s="25"/>
      <c r="S15" s="25"/>
      <c r="T15" s="25"/>
      <c r="U15" s="25"/>
    </row>
    <row r="16" spans="1:23" x14ac:dyDescent="0.25">
      <c r="A16" s="24">
        <v>14</v>
      </c>
      <c r="M16" s="24">
        <v>14</v>
      </c>
    </row>
    <row r="17" spans="1:23" x14ac:dyDescent="0.25">
      <c r="A17" s="24">
        <v>15</v>
      </c>
      <c r="M17" s="24">
        <v>15</v>
      </c>
    </row>
    <row r="18" spans="1:23" x14ac:dyDescent="0.25">
      <c r="A18" s="24">
        <v>16</v>
      </c>
      <c r="M18" s="24">
        <v>16</v>
      </c>
    </row>
    <row r="19" spans="1:23" x14ac:dyDescent="0.25">
      <c r="A19" s="24">
        <v>17</v>
      </c>
      <c r="M19" s="24">
        <v>17</v>
      </c>
    </row>
    <row r="20" spans="1:23" x14ac:dyDescent="0.25">
      <c r="A20" s="24">
        <v>18</v>
      </c>
      <c r="M20" s="24">
        <v>18</v>
      </c>
    </row>
    <row r="21" spans="1:23" ht="27" customHeight="1" x14ac:dyDescent="0.25"/>
    <row r="22" spans="1:23" ht="27" customHeight="1" x14ac:dyDescent="0.25">
      <c r="A22" s="23" t="s">
        <v>19</v>
      </c>
      <c r="B22" s="22" t="s">
        <v>1</v>
      </c>
      <c r="C22" s="22"/>
      <c r="D22" s="22"/>
      <c r="E22" s="22"/>
      <c r="F22" s="22"/>
      <c r="G22" s="22"/>
      <c r="H22" s="22"/>
      <c r="I22" s="22"/>
      <c r="J22" s="22"/>
      <c r="K22" s="22"/>
      <c r="M22" s="23" t="s">
        <v>20</v>
      </c>
      <c r="N22" s="22" t="s">
        <v>1</v>
      </c>
      <c r="O22" s="22"/>
      <c r="P22" s="22"/>
      <c r="Q22" s="22"/>
      <c r="R22" s="22"/>
      <c r="S22" s="22"/>
      <c r="T22" s="22"/>
      <c r="U22" s="22"/>
      <c r="V22" s="22"/>
      <c r="W22" s="22"/>
    </row>
    <row r="23" spans="1:23" ht="27" customHeight="1" x14ac:dyDescent="0.25">
      <c r="A23" s="22" t="s">
        <v>2</v>
      </c>
      <c r="B23" s="26">
        <v>1</v>
      </c>
      <c r="C23" s="26">
        <v>2</v>
      </c>
      <c r="D23" s="26">
        <v>3</v>
      </c>
      <c r="E23" s="26">
        <v>4</v>
      </c>
      <c r="F23" s="26">
        <v>5</v>
      </c>
      <c r="G23" s="26">
        <v>6</v>
      </c>
      <c r="H23" s="26">
        <v>7</v>
      </c>
      <c r="I23" s="26">
        <v>8</v>
      </c>
      <c r="J23" s="26">
        <v>9</v>
      </c>
      <c r="K23" s="26">
        <v>10</v>
      </c>
      <c r="M23" s="22" t="s">
        <v>2</v>
      </c>
      <c r="N23" s="26">
        <v>1</v>
      </c>
      <c r="O23" s="26">
        <v>2</v>
      </c>
      <c r="P23" s="26">
        <v>3</v>
      </c>
      <c r="Q23" s="26">
        <v>4</v>
      </c>
      <c r="R23" s="26">
        <v>5</v>
      </c>
      <c r="S23" s="26">
        <v>6</v>
      </c>
      <c r="T23" s="26">
        <v>7</v>
      </c>
      <c r="U23" s="26">
        <v>8</v>
      </c>
      <c r="V23" s="26">
        <v>9</v>
      </c>
      <c r="W23" s="26">
        <v>10</v>
      </c>
    </row>
    <row r="24" spans="1:23" ht="90" x14ac:dyDescent="0.25">
      <c r="A24" s="24">
        <v>1</v>
      </c>
      <c r="B24" s="25" t="s">
        <v>684</v>
      </c>
      <c r="C24" s="25"/>
      <c r="D24" s="25"/>
      <c r="E24" s="25"/>
      <c r="F24" s="25"/>
      <c r="G24" s="25"/>
      <c r="H24" s="25"/>
      <c r="I24" s="25"/>
      <c r="M24" s="24">
        <v>1</v>
      </c>
      <c r="N24" s="25" t="s">
        <v>698</v>
      </c>
      <c r="O24" s="25"/>
      <c r="P24" s="25" t="s">
        <v>699</v>
      </c>
      <c r="Q24" s="25"/>
      <c r="R24" s="25"/>
      <c r="S24" s="25"/>
      <c r="T24" s="25"/>
      <c r="U24" s="25"/>
    </row>
    <row r="25" spans="1:23" ht="90" x14ac:dyDescent="0.25">
      <c r="A25" s="24">
        <v>2</v>
      </c>
      <c r="B25" s="25"/>
      <c r="C25" s="25"/>
      <c r="D25" s="25"/>
      <c r="E25" s="25"/>
      <c r="F25" s="25"/>
      <c r="G25" s="25"/>
      <c r="H25" s="25"/>
      <c r="I25" s="25"/>
      <c r="M25" s="24">
        <v>2</v>
      </c>
      <c r="N25" s="25"/>
      <c r="O25" s="25" t="s">
        <v>700</v>
      </c>
      <c r="P25" s="25"/>
      <c r="Q25" s="25" t="s">
        <v>701</v>
      </c>
      <c r="R25" s="25" t="s">
        <v>622</v>
      </c>
      <c r="S25" s="25" t="s">
        <v>702</v>
      </c>
      <c r="T25" s="25"/>
      <c r="U25" s="25"/>
    </row>
    <row r="26" spans="1:23" ht="105" x14ac:dyDescent="0.25">
      <c r="A26" s="24">
        <v>3</v>
      </c>
      <c r="B26" s="25"/>
      <c r="C26" s="25" t="s">
        <v>685</v>
      </c>
      <c r="D26" s="25"/>
      <c r="E26" s="25"/>
      <c r="F26" s="25"/>
      <c r="G26" s="25"/>
      <c r="H26" s="25"/>
      <c r="I26" s="25" t="s">
        <v>686</v>
      </c>
      <c r="M26" s="24">
        <v>3</v>
      </c>
      <c r="N26" s="25"/>
      <c r="O26" s="25"/>
      <c r="P26" s="25"/>
      <c r="Q26" s="25"/>
      <c r="R26" s="25"/>
      <c r="S26" s="25" t="s">
        <v>669</v>
      </c>
      <c r="T26" s="25" t="s">
        <v>703</v>
      </c>
      <c r="U26" s="25"/>
    </row>
    <row r="27" spans="1:23" ht="75" x14ac:dyDescent="0.25">
      <c r="A27" s="24">
        <v>4</v>
      </c>
      <c r="B27" s="25"/>
      <c r="C27" s="25" t="s">
        <v>687</v>
      </c>
      <c r="D27" s="25"/>
      <c r="E27" s="25"/>
      <c r="F27" s="25"/>
      <c r="G27" s="25"/>
      <c r="H27" s="25"/>
      <c r="I27" s="25" t="s">
        <v>577</v>
      </c>
      <c r="M27" s="24">
        <v>4</v>
      </c>
      <c r="N27" s="25"/>
      <c r="O27" s="25"/>
      <c r="P27" s="25"/>
      <c r="Q27" s="25"/>
      <c r="R27" s="25"/>
      <c r="S27" s="25"/>
      <c r="T27" s="25"/>
      <c r="U27" s="25" t="s">
        <v>704</v>
      </c>
    </row>
    <row r="28" spans="1:23" ht="45" x14ac:dyDescent="0.25">
      <c r="A28" s="24">
        <v>5</v>
      </c>
      <c r="B28" s="25" t="s">
        <v>688</v>
      </c>
      <c r="C28" s="25"/>
      <c r="D28" s="25"/>
      <c r="E28" s="25"/>
      <c r="F28" s="25"/>
      <c r="G28" s="25"/>
      <c r="H28" s="25"/>
      <c r="I28" s="25"/>
      <c r="M28" s="24">
        <v>5</v>
      </c>
      <c r="N28" s="25"/>
      <c r="O28" s="25"/>
      <c r="P28" s="25"/>
      <c r="Q28" s="25"/>
      <c r="R28" s="25"/>
      <c r="S28" s="25"/>
      <c r="T28" s="25"/>
      <c r="U28" s="25"/>
    </row>
    <row r="29" spans="1:23" ht="105" x14ac:dyDescent="0.25">
      <c r="A29" s="24">
        <v>6</v>
      </c>
      <c r="B29" s="25"/>
      <c r="C29" s="25"/>
      <c r="D29" s="25" t="s">
        <v>689</v>
      </c>
      <c r="E29" s="25" t="s">
        <v>690</v>
      </c>
      <c r="F29" s="25" t="s">
        <v>691</v>
      </c>
      <c r="G29" s="25" t="s">
        <v>635</v>
      </c>
      <c r="H29" s="25"/>
      <c r="I29" s="25" t="s">
        <v>692</v>
      </c>
      <c r="M29" s="24">
        <v>6</v>
      </c>
      <c r="N29" s="25"/>
      <c r="O29" s="25"/>
      <c r="P29" s="25" t="s">
        <v>705</v>
      </c>
      <c r="Q29" s="25" t="s">
        <v>706</v>
      </c>
      <c r="R29" s="25" t="s">
        <v>634</v>
      </c>
      <c r="S29" s="25" t="s">
        <v>707</v>
      </c>
      <c r="T29" s="25"/>
      <c r="U29" s="25" t="s">
        <v>653</v>
      </c>
    </row>
    <row r="30" spans="1:23" ht="105" x14ac:dyDescent="0.25">
      <c r="A30" s="24">
        <v>7</v>
      </c>
      <c r="B30" s="25"/>
      <c r="C30" s="25" t="s">
        <v>591</v>
      </c>
      <c r="D30" s="25" t="s">
        <v>693</v>
      </c>
      <c r="E30" s="25" t="s">
        <v>694</v>
      </c>
      <c r="F30" s="25" t="s">
        <v>695</v>
      </c>
      <c r="G30" s="25" t="s">
        <v>696</v>
      </c>
      <c r="H30" s="25"/>
      <c r="I30" s="25" t="s">
        <v>697</v>
      </c>
      <c r="M30" s="24">
        <v>7</v>
      </c>
      <c r="N30" s="25"/>
      <c r="O30" s="25" t="s">
        <v>677</v>
      </c>
      <c r="P30" s="25" t="s">
        <v>694</v>
      </c>
      <c r="Q30" s="25" t="s">
        <v>607</v>
      </c>
      <c r="R30" s="25" t="s">
        <v>621</v>
      </c>
      <c r="S30" s="25" t="s">
        <v>635</v>
      </c>
      <c r="T30" s="25" t="s">
        <v>708</v>
      </c>
      <c r="U30" s="25"/>
    </row>
    <row r="31" spans="1:23" x14ac:dyDescent="0.25">
      <c r="A31" s="24">
        <v>8</v>
      </c>
      <c r="B31" s="25"/>
      <c r="C31" s="25"/>
      <c r="D31" s="25"/>
      <c r="E31" s="25"/>
      <c r="F31" s="25"/>
      <c r="G31" s="25"/>
      <c r="H31" s="25"/>
      <c r="I31" s="25"/>
      <c r="M31" s="24">
        <v>8</v>
      </c>
      <c r="N31" s="25"/>
      <c r="O31" s="25"/>
      <c r="P31" s="25"/>
      <c r="Q31" s="25"/>
      <c r="R31" s="25"/>
      <c r="S31" s="25"/>
      <c r="T31" s="25"/>
      <c r="U31" s="25"/>
    </row>
    <row r="32" spans="1:23" x14ac:dyDescent="0.25">
      <c r="A32" s="24">
        <v>9</v>
      </c>
      <c r="B32" s="25"/>
      <c r="C32" s="25"/>
      <c r="D32" s="25"/>
      <c r="E32" s="25"/>
      <c r="G32" s="25"/>
      <c r="M32" s="24">
        <v>9</v>
      </c>
      <c r="N32" s="25"/>
      <c r="O32" s="25"/>
      <c r="P32" s="25"/>
      <c r="Q32" s="25"/>
      <c r="S32" s="25"/>
      <c r="T32" s="25"/>
    </row>
    <row r="33" spans="1:23" x14ac:dyDescent="0.25">
      <c r="A33" s="24">
        <v>10</v>
      </c>
      <c r="B33" s="25"/>
      <c r="C33" s="25"/>
      <c r="E33" s="25"/>
      <c r="H33" s="25"/>
      <c r="M33" s="24">
        <v>10</v>
      </c>
      <c r="N33" s="25"/>
      <c r="O33" s="25"/>
      <c r="Q33" s="25"/>
      <c r="R33" s="25"/>
      <c r="T33" s="25"/>
    </row>
    <row r="34" spans="1:23" x14ac:dyDescent="0.25">
      <c r="A34" s="24">
        <v>11</v>
      </c>
      <c r="H34" s="25"/>
      <c r="M34" s="24">
        <v>11</v>
      </c>
      <c r="R34" s="25"/>
      <c r="T34" s="25"/>
      <c r="U34" s="25"/>
    </row>
    <row r="35" spans="1:23" x14ac:dyDescent="0.25">
      <c r="A35" s="24">
        <v>12</v>
      </c>
      <c r="B35" s="25"/>
      <c r="C35" s="25"/>
      <c r="I35" s="25"/>
      <c r="M35" s="24">
        <v>12</v>
      </c>
      <c r="N35" s="25"/>
      <c r="O35" s="25"/>
      <c r="P35" s="25"/>
      <c r="R35" s="25"/>
      <c r="S35" s="25"/>
      <c r="T35" s="25"/>
      <c r="U35" s="25"/>
    </row>
    <row r="36" spans="1:23" x14ac:dyDescent="0.25">
      <c r="A36" s="24">
        <v>13</v>
      </c>
      <c r="B36" s="25"/>
      <c r="C36" s="25"/>
      <c r="I36" s="25"/>
      <c r="M36" s="24">
        <v>13</v>
      </c>
      <c r="N36" s="25"/>
      <c r="O36" s="25"/>
      <c r="P36" s="25"/>
      <c r="R36" s="25"/>
      <c r="S36" s="25"/>
      <c r="T36" s="25"/>
      <c r="U36" s="25"/>
    </row>
    <row r="37" spans="1:23" x14ac:dyDescent="0.25">
      <c r="A37" s="24">
        <v>14</v>
      </c>
      <c r="M37" s="24">
        <v>14</v>
      </c>
    </row>
    <row r="38" spans="1:23" x14ac:dyDescent="0.25">
      <c r="A38" s="24">
        <v>15</v>
      </c>
      <c r="M38" s="24">
        <v>15</v>
      </c>
    </row>
    <row r="39" spans="1:23" x14ac:dyDescent="0.25">
      <c r="A39" s="24">
        <v>16</v>
      </c>
      <c r="M39" s="24">
        <v>16</v>
      </c>
    </row>
    <row r="40" spans="1:23" x14ac:dyDescent="0.25">
      <c r="A40" s="24">
        <v>17</v>
      </c>
      <c r="M40" s="24">
        <v>17</v>
      </c>
    </row>
    <row r="41" spans="1:23" x14ac:dyDescent="0.25">
      <c r="A41" s="24">
        <v>18</v>
      </c>
      <c r="M41" s="24">
        <v>18</v>
      </c>
    </row>
    <row r="43" spans="1:23" x14ac:dyDescent="0.25">
      <c r="A43" s="23" t="s">
        <v>21</v>
      </c>
      <c r="B43" s="22" t="s">
        <v>1</v>
      </c>
      <c r="C43" s="22"/>
      <c r="D43" s="22"/>
      <c r="E43" s="22"/>
      <c r="F43" s="22"/>
      <c r="G43" s="22"/>
      <c r="H43" s="22"/>
      <c r="I43" s="22"/>
      <c r="J43" s="22"/>
      <c r="K43" s="22"/>
      <c r="M43" s="23" t="s">
        <v>326</v>
      </c>
      <c r="N43" s="22" t="s">
        <v>1</v>
      </c>
      <c r="O43" s="22"/>
      <c r="P43" s="22"/>
      <c r="Q43" s="22"/>
      <c r="R43" s="22"/>
      <c r="S43" s="22"/>
      <c r="T43" s="22"/>
      <c r="U43" s="22"/>
      <c r="V43" s="22"/>
      <c r="W43" s="22"/>
    </row>
    <row r="44" spans="1:23" ht="45" x14ac:dyDescent="0.25">
      <c r="A44" s="22" t="s">
        <v>2</v>
      </c>
      <c r="B44" s="26">
        <v>1</v>
      </c>
      <c r="C44" s="26">
        <v>2</v>
      </c>
      <c r="D44" s="26">
        <v>3</v>
      </c>
      <c r="E44" s="26">
        <v>4</v>
      </c>
      <c r="F44" s="26">
        <v>5</v>
      </c>
      <c r="G44" s="26">
        <v>6</v>
      </c>
      <c r="H44" s="26">
        <v>7</v>
      </c>
      <c r="I44" s="26">
        <v>8</v>
      </c>
      <c r="J44" s="26">
        <v>9</v>
      </c>
      <c r="K44" s="26">
        <v>10</v>
      </c>
      <c r="M44" s="22" t="s">
        <v>2</v>
      </c>
      <c r="N44" s="26">
        <v>1</v>
      </c>
      <c r="O44" s="26">
        <v>2</v>
      </c>
      <c r="P44" s="26">
        <v>3</v>
      </c>
      <c r="Q44" s="26">
        <v>4</v>
      </c>
      <c r="R44" s="26">
        <v>5</v>
      </c>
      <c r="S44" s="26">
        <v>6</v>
      </c>
      <c r="T44" s="26">
        <v>7</v>
      </c>
      <c r="U44" s="26">
        <v>8</v>
      </c>
      <c r="V44" s="26">
        <v>9</v>
      </c>
      <c r="W44" s="26">
        <v>10</v>
      </c>
    </row>
    <row r="45" spans="1:23" ht="45" x14ac:dyDescent="0.25">
      <c r="A45" s="24">
        <v>1</v>
      </c>
      <c r="B45" s="25" t="s">
        <v>708</v>
      </c>
      <c r="C45" s="25"/>
      <c r="D45" s="25"/>
      <c r="E45" s="25"/>
      <c r="F45" s="25"/>
      <c r="G45" s="25"/>
      <c r="H45" s="25"/>
      <c r="I45" s="25" t="s">
        <v>709</v>
      </c>
      <c r="M45" s="24">
        <v>1</v>
      </c>
      <c r="N45" s="25"/>
      <c r="O45" s="25"/>
      <c r="P45" s="25"/>
      <c r="Q45" s="25"/>
      <c r="R45" s="25"/>
      <c r="S45" s="25"/>
      <c r="T45" s="25"/>
      <c r="U45" s="25"/>
    </row>
    <row r="46" spans="1:23" ht="45" x14ac:dyDescent="0.25">
      <c r="A46" s="24">
        <v>2</v>
      </c>
      <c r="B46" s="25"/>
      <c r="C46" s="25"/>
      <c r="D46" s="25"/>
      <c r="E46" s="25"/>
      <c r="F46" s="25" t="s">
        <v>710</v>
      </c>
      <c r="G46" s="25"/>
      <c r="H46" s="25" t="s">
        <v>711</v>
      </c>
      <c r="I46" s="25"/>
      <c r="M46" s="24">
        <v>2</v>
      </c>
      <c r="N46" s="25"/>
      <c r="O46" s="25"/>
      <c r="P46" s="25"/>
      <c r="Q46" s="25"/>
      <c r="R46" s="25"/>
      <c r="S46" s="25"/>
      <c r="T46" s="25"/>
      <c r="U46" s="25"/>
    </row>
    <row r="47" spans="1:23" ht="45" x14ac:dyDescent="0.25">
      <c r="A47" s="24">
        <v>3</v>
      </c>
      <c r="B47" s="25"/>
      <c r="C47" s="25" t="s">
        <v>640</v>
      </c>
      <c r="D47" s="25"/>
      <c r="E47" s="25" t="s">
        <v>683</v>
      </c>
      <c r="F47" s="25"/>
      <c r="G47" s="25" t="s">
        <v>712</v>
      </c>
      <c r="H47" s="25"/>
      <c r="I47" s="25"/>
      <c r="M47" s="24">
        <v>3</v>
      </c>
      <c r="N47" s="25"/>
      <c r="O47" s="25"/>
      <c r="P47" s="25"/>
      <c r="Q47" s="25"/>
      <c r="R47" s="25"/>
      <c r="S47" s="25"/>
      <c r="T47" s="25"/>
      <c r="U47" s="25"/>
    </row>
    <row r="48" spans="1:23" ht="75" x14ac:dyDescent="0.25">
      <c r="A48" s="24">
        <v>4</v>
      </c>
      <c r="B48" s="25"/>
      <c r="C48" s="25"/>
      <c r="D48" s="25" t="s">
        <v>713</v>
      </c>
      <c r="E48" s="25"/>
      <c r="F48" s="25"/>
      <c r="G48" s="25"/>
      <c r="H48" s="25"/>
      <c r="I48" s="25"/>
      <c r="M48" s="24">
        <v>4</v>
      </c>
      <c r="N48" s="25"/>
      <c r="O48" s="25"/>
      <c r="P48" s="25"/>
      <c r="Q48" s="25"/>
      <c r="R48" s="25"/>
      <c r="S48" s="25" t="s">
        <v>576</v>
      </c>
      <c r="T48" s="25"/>
      <c r="U48" s="25"/>
    </row>
    <row r="49" spans="1:23" ht="105" x14ac:dyDescent="0.25">
      <c r="A49" s="24">
        <v>5</v>
      </c>
      <c r="B49" s="25"/>
      <c r="C49" s="25"/>
      <c r="D49" s="25"/>
      <c r="E49" s="25"/>
      <c r="F49" s="25"/>
      <c r="G49" s="25"/>
      <c r="H49" s="25"/>
      <c r="I49" s="25" t="s">
        <v>714</v>
      </c>
      <c r="M49" s="24">
        <v>5</v>
      </c>
      <c r="N49" s="25"/>
      <c r="O49" s="25"/>
      <c r="P49" s="25"/>
      <c r="Q49" s="25"/>
      <c r="R49" s="25"/>
      <c r="S49" s="25"/>
      <c r="T49" s="25"/>
      <c r="U49" s="25" t="s">
        <v>577</v>
      </c>
    </row>
    <row r="50" spans="1:23" ht="90" x14ac:dyDescent="0.25">
      <c r="A50" s="24">
        <v>6</v>
      </c>
      <c r="B50" s="25"/>
      <c r="C50" s="25"/>
      <c r="D50" s="25" t="s">
        <v>715</v>
      </c>
      <c r="E50" s="25" t="s">
        <v>668</v>
      </c>
      <c r="F50" s="25" t="s">
        <v>716</v>
      </c>
      <c r="G50" s="25" t="s">
        <v>717</v>
      </c>
      <c r="H50" s="25"/>
      <c r="I50" s="25" t="s">
        <v>608</v>
      </c>
      <c r="M50" s="24">
        <v>6</v>
      </c>
      <c r="N50" s="25"/>
      <c r="O50" s="25"/>
      <c r="P50" s="25" t="s">
        <v>578</v>
      </c>
      <c r="Q50" s="25" t="s">
        <v>579</v>
      </c>
      <c r="R50" s="25" t="s">
        <v>580</v>
      </c>
      <c r="S50" s="25" t="s">
        <v>581</v>
      </c>
      <c r="T50" s="25"/>
      <c r="U50" s="25"/>
    </row>
    <row r="51" spans="1:23" ht="90" x14ac:dyDescent="0.25">
      <c r="A51" s="24">
        <v>7</v>
      </c>
      <c r="B51" s="25" t="s">
        <v>718</v>
      </c>
      <c r="C51" s="25" t="s">
        <v>698</v>
      </c>
      <c r="D51" s="25"/>
      <c r="E51" s="25" t="s">
        <v>719</v>
      </c>
      <c r="F51" s="25" t="s">
        <v>720</v>
      </c>
      <c r="G51" s="25" t="s">
        <v>721</v>
      </c>
      <c r="H51" s="25" t="s">
        <v>722</v>
      </c>
      <c r="I51" s="25" t="s">
        <v>723</v>
      </c>
      <c r="M51" s="24">
        <v>7</v>
      </c>
      <c r="N51" s="25"/>
      <c r="O51" s="25"/>
      <c r="P51" s="25"/>
      <c r="Q51" s="25"/>
      <c r="R51" s="25"/>
      <c r="S51" s="25" t="s">
        <v>582</v>
      </c>
      <c r="T51" s="25"/>
      <c r="U51" s="25"/>
    </row>
    <row r="52" spans="1:23" x14ac:dyDescent="0.25">
      <c r="A52" s="24">
        <v>8</v>
      </c>
      <c r="B52" s="25"/>
      <c r="C52" s="25"/>
      <c r="D52" s="25"/>
      <c r="E52" s="25"/>
      <c r="F52" s="25"/>
      <c r="G52" s="25"/>
      <c r="H52" s="25"/>
      <c r="I52" s="25"/>
      <c r="M52" s="24">
        <v>8</v>
      </c>
      <c r="N52" s="25"/>
      <c r="O52" s="25"/>
      <c r="P52" s="25"/>
      <c r="Q52" s="25"/>
      <c r="R52" s="25"/>
      <c r="S52" s="25"/>
      <c r="T52" s="25"/>
      <c r="U52" s="25"/>
    </row>
    <row r="53" spans="1:23" x14ac:dyDescent="0.25">
      <c r="A53" s="24">
        <v>9</v>
      </c>
      <c r="B53" s="25"/>
      <c r="C53" s="25"/>
      <c r="D53" s="25"/>
      <c r="E53" s="25"/>
      <c r="G53" s="25"/>
      <c r="M53" s="24">
        <v>9</v>
      </c>
      <c r="N53" s="25"/>
      <c r="O53" s="25"/>
      <c r="P53" s="25"/>
      <c r="Q53" s="25"/>
      <c r="S53" s="25"/>
      <c r="T53" s="25"/>
    </row>
    <row r="54" spans="1:23" x14ac:dyDescent="0.25">
      <c r="A54" s="24">
        <v>10</v>
      </c>
      <c r="B54" s="25"/>
      <c r="C54" s="25"/>
      <c r="E54" s="25"/>
      <c r="H54" s="25"/>
      <c r="M54" s="24">
        <v>10</v>
      </c>
      <c r="N54" s="25"/>
      <c r="O54" s="25"/>
      <c r="Q54" s="25"/>
      <c r="R54" s="25"/>
      <c r="T54" s="25"/>
    </row>
    <row r="55" spans="1:23" x14ac:dyDescent="0.25">
      <c r="A55" s="24">
        <v>11</v>
      </c>
      <c r="H55" s="25"/>
      <c r="M55" s="24">
        <v>11</v>
      </c>
      <c r="R55" s="25"/>
      <c r="T55" s="25"/>
      <c r="U55" s="25"/>
    </row>
    <row r="56" spans="1:23" x14ac:dyDescent="0.25">
      <c r="A56" s="24">
        <v>12</v>
      </c>
      <c r="B56" s="25"/>
      <c r="C56" s="25"/>
      <c r="I56" s="25"/>
      <c r="M56" s="24">
        <v>12</v>
      </c>
      <c r="N56" s="25"/>
      <c r="O56" s="25"/>
      <c r="P56" s="25"/>
      <c r="R56" s="25"/>
      <c r="S56" s="25"/>
      <c r="T56" s="25"/>
      <c r="U56" s="25"/>
    </row>
    <row r="57" spans="1:23" x14ac:dyDescent="0.25">
      <c r="A57" s="24">
        <v>13</v>
      </c>
      <c r="B57" s="25"/>
      <c r="C57" s="25"/>
      <c r="I57" s="25"/>
      <c r="M57" s="24">
        <v>13</v>
      </c>
      <c r="N57" s="25"/>
      <c r="O57" s="25"/>
      <c r="P57" s="25"/>
      <c r="R57" s="25"/>
      <c r="S57" s="25"/>
      <c r="T57" s="25"/>
      <c r="U57" s="25"/>
    </row>
    <row r="58" spans="1:23" x14ac:dyDescent="0.25">
      <c r="A58" s="24">
        <v>14</v>
      </c>
      <c r="M58" s="24">
        <v>14</v>
      </c>
    </row>
    <row r="59" spans="1:23" x14ac:dyDescent="0.25">
      <c r="A59" s="24">
        <v>15</v>
      </c>
      <c r="M59" s="24">
        <v>15</v>
      </c>
    </row>
    <row r="60" spans="1:23" x14ac:dyDescent="0.25">
      <c r="A60" s="24">
        <v>16</v>
      </c>
      <c r="M60" s="24">
        <v>16</v>
      </c>
    </row>
    <row r="61" spans="1:23" x14ac:dyDescent="0.25">
      <c r="A61" s="24">
        <v>17</v>
      </c>
      <c r="M61" s="24">
        <v>17</v>
      </c>
    </row>
    <row r="62" spans="1:23" x14ac:dyDescent="0.25">
      <c r="A62" s="24">
        <v>18</v>
      </c>
      <c r="M62" s="24">
        <v>18</v>
      </c>
    </row>
    <row r="64" spans="1:23" x14ac:dyDescent="0.25">
      <c r="A64" s="23" t="s">
        <v>327</v>
      </c>
      <c r="B64" s="22" t="s">
        <v>1</v>
      </c>
      <c r="C64" s="22"/>
      <c r="D64" s="22"/>
      <c r="E64" s="22"/>
      <c r="F64" s="22"/>
      <c r="G64" s="22"/>
      <c r="H64" s="22"/>
      <c r="I64" s="22"/>
      <c r="J64" s="22"/>
      <c r="K64" s="22"/>
      <c r="M64" s="23" t="s">
        <v>328</v>
      </c>
      <c r="N64" s="22" t="s">
        <v>1</v>
      </c>
      <c r="O64" s="22"/>
      <c r="P64" s="22"/>
      <c r="Q64" s="22"/>
      <c r="R64" s="22"/>
      <c r="S64" s="22"/>
      <c r="T64" s="22"/>
      <c r="U64" s="22"/>
      <c r="V64" s="22"/>
      <c r="W64" s="22"/>
    </row>
    <row r="65" spans="1:23" ht="45" x14ac:dyDescent="0.25">
      <c r="A65" s="22" t="s">
        <v>2</v>
      </c>
      <c r="B65" s="26">
        <v>1</v>
      </c>
      <c r="C65" s="26">
        <v>2</v>
      </c>
      <c r="D65" s="26">
        <v>3</v>
      </c>
      <c r="E65" s="26">
        <v>4</v>
      </c>
      <c r="F65" s="26">
        <v>5</v>
      </c>
      <c r="G65" s="26">
        <v>6</v>
      </c>
      <c r="H65" s="26">
        <v>7</v>
      </c>
      <c r="I65" s="26">
        <v>8</v>
      </c>
      <c r="J65" s="26">
        <v>9</v>
      </c>
      <c r="K65" s="26">
        <v>10</v>
      </c>
      <c r="M65" s="22" t="s">
        <v>2</v>
      </c>
      <c r="N65" s="26">
        <v>1</v>
      </c>
      <c r="O65" s="26">
        <v>2</v>
      </c>
      <c r="P65" s="26">
        <v>3</v>
      </c>
      <c r="Q65" s="26">
        <v>4</v>
      </c>
      <c r="R65" s="26">
        <v>5</v>
      </c>
      <c r="S65" s="26">
        <v>6</v>
      </c>
      <c r="T65" s="26">
        <v>7</v>
      </c>
      <c r="U65" s="26">
        <v>8</v>
      </c>
      <c r="V65" s="26">
        <v>9</v>
      </c>
      <c r="W65" s="26">
        <v>10</v>
      </c>
    </row>
    <row r="66" spans="1:23" x14ac:dyDescent="0.25">
      <c r="A66" s="24">
        <v>1</v>
      </c>
      <c r="B66" s="25"/>
      <c r="C66" s="25"/>
      <c r="D66" s="25"/>
      <c r="E66" s="25"/>
      <c r="F66" s="25"/>
      <c r="G66" s="25"/>
      <c r="H66" s="25"/>
      <c r="I66" s="25"/>
      <c r="M66" s="24">
        <v>1</v>
      </c>
      <c r="N66" s="25"/>
      <c r="O66" s="25"/>
      <c r="P66" s="25"/>
      <c r="Q66" s="25"/>
      <c r="R66" s="25"/>
      <c r="S66" s="25"/>
      <c r="T66" s="25"/>
      <c r="U66" s="25"/>
    </row>
    <row r="67" spans="1:23" ht="90" x14ac:dyDescent="0.25">
      <c r="A67" s="24">
        <v>2</v>
      </c>
      <c r="B67" s="25"/>
      <c r="C67" s="25"/>
      <c r="D67" s="25"/>
      <c r="E67" s="25"/>
      <c r="F67" s="25"/>
      <c r="G67" s="25"/>
      <c r="H67" s="25"/>
      <c r="I67" s="25"/>
      <c r="M67" s="24">
        <v>2</v>
      </c>
      <c r="N67" s="25"/>
      <c r="O67" s="25"/>
      <c r="P67" s="25"/>
      <c r="Q67" s="25" t="s">
        <v>585</v>
      </c>
      <c r="R67" s="25"/>
      <c r="S67" s="25" t="s">
        <v>586</v>
      </c>
      <c r="T67" s="25"/>
      <c r="U67" s="25"/>
    </row>
    <row r="68" spans="1:23" ht="90" x14ac:dyDescent="0.25">
      <c r="A68" s="24">
        <v>3</v>
      </c>
      <c r="B68" s="25"/>
      <c r="C68" s="25"/>
      <c r="D68" s="25"/>
      <c r="E68" s="25"/>
      <c r="F68" s="25"/>
      <c r="G68" s="25"/>
      <c r="H68" s="25"/>
      <c r="I68" s="25" t="s">
        <v>583</v>
      </c>
      <c r="M68" s="24">
        <v>3</v>
      </c>
      <c r="N68" s="25"/>
      <c r="O68" s="25"/>
      <c r="P68" s="25"/>
      <c r="Q68" s="25"/>
      <c r="R68" s="25"/>
      <c r="S68" s="25"/>
      <c r="T68" s="25"/>
      <c r="U68" s="25" t="s">
        <v>587</v>
      </c>
    </row>
    <row r="69" spans="1:23" x14ac:dyDescent="0.25">
      <c r="A69" s="24">
        <v>4</v>
      </c>
      <c r="B69" s="25"/>
      <c r="C69" s="25"/>
      <c r="D69" s="25"/>
      <c r="E69" s="25"/>
      <c r="F69" s="25"/>
      <c r="G69" s="25"/>
      <c r="H69" s="25"/>
      <c r="I69" s="25"/>
      <c r="M69" s="24">
        <v>4</v>
      </c>
      <c r="N69" s="25"/>
      <c r="O69" s="25"/>
      <c r="P69" s="25"/>
      <c r="Q69" s="25"/>
      <c r="R69" s="25"/>
      <c r="S69" s="25"/>
      <c r="T69" s="25"/>
      <c r="U69" s="25"/>
    </row>
    <row r="70" spans="1:23" x14ac:dyDescent="0.25">
      <c r="A70" s="24">
        <v>5</v>
      </c>
      <c r="B70" s="25"/>
      <c r="C70" s="25"/>
      <c r="D70" s="25"/>
      <c r="E70" s="25"/>
      <c r="F70" s="25"/>
      <c r="G70" s="25"/>
      <c r="H70" s="25"/>
      <c r="I70" s="25"/>
      <c r="M70" s="24">
        <v>5</v>
      </c>
      <c r="N70" s="25"/>
      <c r="O70" s="25"/>
      <c r="P70" s="25"/>
      <c r="Q70" s="25"/>
      <c r="R70" s="25"/>
      <c r="S70" s="25"/>
      <c r="T70" s="25"/>
      <c r="U70" s="25"/>
    </row>
    <row r="71" spans="1:23" ht="75" x14ac:dyDescent="0.25">
      <c r="A71" s="24">
        <v>6</v>
      </c>
      <c r="B71" s="25"/>
      <c r="C71" s="25"/>
      <c r="D71" s="25"/>
      <c r="E71" s="25"/>
      <c r="F71" s="25"/>
      <c r="G71" s="25" t="s">
        <v>584</v>
      </c>
      <c r="H71" s="25"/>
      <c r="I71" s="25"/>
      <c r="M71" s="24">
        <v>6</v>
      </c>
      <c r="N71" s="25"/>
      <c r="O71" s="25"/>
      <c r="P71" s="25"/>
      <c r="Q71" s="25"/>
      <c r="R71" s="25"/>
      <c r="S71" s="25" t="s">
        <v>588</v>
      </c>
      <c r="T71" s="25"/>
      <c r="U71" s="25"/>
    </row>
    <row r="72" spans="1:23" ht="75" x14ac:dyDescent="0.25">
      <c r="A72" s="24">
        <v>7</v>
      </c>
      <c r="B72" s="25"/>
      <c r="C72" s="25"/>
      <c r="D72" s="25"/>
      <c r="E72" s="25"/>
      <c r="F72" s="25"/>
      <c r="G72" s="25"/>
      <c r="H72" s="25"/>
      <c r="I72" s="25"/>
      <c r="M72" s="24">
        <v>7</v>
      </c>
      <c r="N72" s="25"/>
      <c r="O72" s="25"/>
      <c r="P72" s="25"/>
      <c r="Q72" s="25"/>
      <c r="R72" s="25"/>
      <c r="S72" s="25" t="s">
        <v>589</v>
      </c>
      <c r="T72" s="25"/>
      <c r="U72" s="25"/>
    </row>
    <row r="73" spans="1:23" x14ac:dyDescent="0.25">
      <c r="A73" s="24">
        <v>8</v>
      </c>
      <c r="B73" s="25"/>
      <c r="C73" s="25"/>
      <c r="D73" s="25"/>
      <c r="E73" s="25"/>
      <c r="F73" s="25"/>
      <c r="G73" s="25"/>
      <c r="H73" s="25"/>
      <c r="I73" s="25"/>
      <c r="M73" s="24">
        <v>8</v>
      </c>
      <c r="N73" s="25"/>
      <c r="O73" s="25"/>
      <c r="P73" s="25"/>
      <c r="Q73" s="25"/>
      <c r="R73" s="25"/>
      <c r="S73" s="25"/>
      <c r="T73" s="25"/>
      <c r="U73" s="25"/>
    </row>
    <row r="74" spans="1:23" x14ac:dyDescent="0.25">
      <c r="A74" s="24">
        <v>9</v>
      </c>
      <c r="B74" s="25"/>
      <c r="C74" s="25"/>
      <c r="D74" s="25"/>
      <c r="E74" s="25"/>
      <c r="G74" s="25"/>
      <c r="M74" s="24">
        <v>9</v>
      </c>
      <c r="N74" s="25"/>
      <c r="O74" s="25"/>
      <c r="P74" s="25"/>
      <c r="Q74" s="25"/>
      <c r="S74" s="25"/>
      <c r="T74" s="25"/>
    </row>
    <row r="75" spans="1:23" x14ac:dyDescent="0.25">
      <c r="A75" s="24">
        <v>10</v>
      </c>
      <c r="B75" s="25"/>
      <c r="C75" s="25"/>
      <c r="E75" s="25"/>
      <c r="H75" s="25"/>
      <c r="M75" s="24">
        <v>10</v>
      </c>
      <c r="N75" s="25"/>
      <c r="O75" s="25"/>
      <c r="Q75" s="25"/>
      <c r="R75" s="25"/>
      <c r="T75" s="25"/>
    </row>
    <row r="76" spans="1:23" x14ac:dyDescent="0.25">
      <c r="A76" s="24">
        <v>11</v>
      </c>
      <c r="H76" s="25"/>
      <c r="M76" s="24">
        <v>11</v>
      </c>
      <c r="R76" s="25"/>
      <c r="T76" s="25"/>
      <c r="U76" s="25"/>
    </row>
    <row r="77" spans="1:23" x14ac:dyDescent="0.25">
      <c r="A77" s="24">
        <v>12</v>
      </c>
      <c r="B77" s="25"/>
      <c r="C77" s="25"/>
      <c r="I77" s="25"/>
      <c r="M77" s="24">
        <v>12</v>
      </c>
      <c r="N77" s="25"/>
      <c r="O77" s="25"/>
      <c r="P77" s="25"/>
      <c r="R77" s="25"/>
      <c r="S77" s="25"/>
      <c r="T77" s="25"/>
      <c r="U77" s="25"/>
    </row>
    <row r="78" spans="1:23" x14ac:dyDescent="0.25">
      <c r="A78" s="24">
        <v>13</v>
      </c>
      <c r="B78" s="25"/>
      <c r="C78" s="25"/>
      <c r="I78" s="25"/>
      <c r="M78" s="24">
        <v>13</v>
      </c>
      <c r="N78" s="25"/>
      <c r="O78" s="25"/>
      <c r="P78" s="25"/>
      <c r="R78" s="25"/>
      <c r="S78" s="25"/>
      <c r="T78" s="25"/>
      <c r="U78" s="25"/>
    </row>
    <row r="79" spans="1:23" x14ac:dyDescent="0.25">
      <c r="A79" s="24">
        <v>14</v>
      </c>
      <c r="M79" s="24">
        <v>14</v>
      </c>
    </row>
    <row r="80" spans="1:23" x14ac:dyDescent="0.25">
      <c r="A80" s="24">
        <v>15</v>
      </c>
      <c r="M80" s="24">
        <v>15</v>
      </c>
    </row>
    <row r="81" spans="1:23" x14ac:dyDescent="0.25">
      <c r="A81" s="24">
        <v>16</v>
      </c>
      <c r="M81" s="24">
        <v>16</v>
      </c>
    </row>
    <row r="82" spans="1:23" x14ac:dyDescent="0.25">
      <c r="A82" s="24">
        <v>17</v>
      </c>
      <c r="M82" s="24">
        <v>17</v>
      </c>
    </row>
    <row r="83" spans="1:23" x14ac:dyDescent="0.25">
      <c r="A83" s="24">
        <v>18</v>
      </c>
      <c r="M83" s="24">
        <v>18</v>
      </c>
    </row>
    <row r="85" spans="1:23" x14ac:dyDescent="0.25">
      <c r="A85" s="23" t="s">
        <v>329</v>
      </c>
      <c r="B85" s="22" t="s">
        <v>1</v>
      </c>
      <c r="C85" s="22"/>
      <c r="D85" s="22"/>
      <c r="E85" s="22"/>
      <c r="F85" s="22"/>
      <c r="G85" s="22"/>
      <c r="H85" s="22"/>
      <c r="I85" s="22"/>
      <c r="J85" s="22"/>
      <c r="K85" s="22"/>
      <c r="M85" s="23" t="s">
        <v>330</v>
      </c>
      <c r="N85" s="22" t="s">
        <v>1</v>
      </c>
      <c r="O85" s="22"/>
      <c r="P85" s="22"/>
      <c r="Q85" s="22"/>
      <c r="R85" s="22"/>
      <c r="S85" s="22"/>
      <c r="T85" s="22"/>
      <c r="U85" s="22"/>
      <c r="V85" s="22"/>
      <c r="W85" s="22"/>
    </row>
    <row r="86" spans="1:23" ht="45" x14ac:dyDescent="0.25">
      <c r="A86" s="22" t="s">
        <v>2</v>
      </c>
      <c r="B86" s="26">
        <v>1</v>
      </c>
      <c r="C86" s="26">
        <v>2</v>
      </c>
      <c r="D86" s="26">
        <v>3</v>
      </c>
      <c r="E86" s="26">
        <v>4</v>
      </c>
      <c r="F86" s="26">
        <v>5</v>
      </c>
      <c r="G86" s="26">
        <v>6</v>
      </c>
      <c r="H86" s="26">
        <v>7</v>
      </c>
      <c r="I86" s="26">
        <v>8</v>
      </c>
      <c r="J86" s="26">
        <v>9</v>
      </c>
      <c r="K86" s="26">
        <v>10</v>
      </c>
      <c r="M86" s="22" t="s">
        <v>2</v>
      </c>
      <c r="N86" s="26">
        <v>1</v>
      </c>
      <c r="O86" s="26">
        <v>2</v>
      </c>
      <c r="P86" s="26">
        <v>3</v>
      </c>
      <c r="Q86" s="26">
        <v>4</v>
      </c>
      <c r="R86" s="26">
        <v>5</v>
      </c>
      <c r="S86" s="26">
        <v>6</v>
      </c>
      <c r="T86" s="26">
        <v>7</v>
      </c>
      <c r="U86" s="26">
        <v>8</v>
      </c>
      <c r="V86" s="26">
        <v>9</v>
      </c>
      <c r="W86" s="26">
        <v>10</v>
      </c>
    </row>
    <row r="87" spans="1:23" ht="60" x14ac:dyDescent="0.25">
      <c r="A87" s="24">
        <v>1</v>
      </c>
      <c r="B87" s="25"/>
      <c r="C87" s="25"/>
      <c r="D87" s="25"/>
      <c r="E87" s="25"/>
      <c r="F87" s="25"/>
      <c r="G87" s="25"/>
      <c r="H87" s="25"/>
      <c r="I87" s="25"/>
      <c r="M87" s="24">
        <v>1</v>
      </c>
      <c r="N87" s="25" t="s">
        <v>594</v>
      </c>
      <c r="O87" s="25"/>
      <c r="P87" s="25"/>
      <c r="Q87" s="25"/>
      <c r="R87" s="25"/>
      <c r="S87" s="25"/>
      <c r="T87" s="25"/>
      <c r="U87" s="25"/>
    </row>
    <row r="88" spans="1:23" x14ac:dyDescent="0.25">
      <c r="A88" s="24">
        <v>2</v>
      </c>
      <c r="B88" s="25"/>
      <c r="C88" s="25"/>
      <c r="D88" s="25"/>
      <c r="E88" s="25"/>
      <c r="F88" s="25"/>
      <c r="G88" s="25"/>
      <c r="H88" s="25"/>
      <c r="I88" s="25"/>
      <c r="M88" s="24">
        <v>2</v>
      </c>
      <c r="N88" s="25"/>
      <c r="O88" s="25"/>
      <c r="P88" s="25"/>
      <c r="Q88" s="25"/>
      <c r="R88" s="25"/>
      <c r="S88" s="25"/>
      <c r="T88" s="25"/>
      <c r="U88" s="25"/>
    </row>
    <row r="89" spans="1:23" x14ac:dyDescent="0.25">
      <c r="A89" s="24">
        <v>3</v>
      </c>
      <c r="B89" s="25"/>
      <c r="C89" s="25"/>
      <c r="D89" s="25"/>
      <c r="E89" s="25"/>
      <c r="F89" s="25"/>
      <c r="G89" s="25"/>
      <c r="H89" s="25"/>
      <c r="I89" s="25"/>
      <c r="M89" s="24">
        <v>3</v>
      </c>
      <c r="N89" s="25"/>
      <c r="O89" s="25"/>
      <c r="P89" s="25"/>
      <c r="Q89" s="25"/>
      <c r="R89" s="25"/>
      <c r="S89" s="25"/>
      <c r="T89" s="25"/>
      <c r="U89" s="25"/>
    </row>
    <row r="90" spans="1:23" x14ac:dyDescent="0.25">
      <c r="A90" s="24">
        <v>4</v>
      </c>
      <c r="B90" s="25"/>
      <c r="C90" s="25"/>
      <c r="D90" s="25"/>
      <c r="E90" s="25"/>
      <c r="F90" s="25"/>
      <c r="G90" s="25"/>
      <c r="H90" s="25"/>
      <c r="I90" s="25"/>
      <c r="M90" s="24">
        <v>4</v>
      </c>
      <c r="N90" s="25"/>
      <c r="O90" s="25"/>
      <c r="P90" s="25"/>
      <c r="Q90" s="25"/>
      <c r="R90" s="25"/>
      <c r="S90" s="25"/>
      <c r="T90" s="25"/>
      <c r="U90" s="25"/>
    </row>
    <row r="91" spans="1:23" x14ac:dyDescent="0.25">
      <c r="A91" s="24">
        <v>5</v>
      </c>
      <c r="B91" s="25"/>
      <c r="C91" s="25"/>
      <c r="D91" s="25"/>
      <c r="E91" s="25"/>
      <c r="F91" s="25"/>
      <c r="G91" s="25"/>
      <c r="H91" s="25"/>
      <c r="I91" s="25"/>
      <c r="M91" s="24">
        <v>5</v>
      </c>
      <c r="N91" s="25"/>
      <c r="O91" s="25"/>
      <c r="P91" s="25"/>
      <c r="Q91" s="25"/>
      <c r="R91" s="25"/>
      <c r="S91" s="25"/>
      <c r="T91" s="25"/>
      <c r="U91" s="25"/>
    </row>
    <row r="92" spans="1:23" ht="90" x14ac:dyDescent="0.25">
      <c r="A92" s="24">
        <v>6</v>
      </c>
      <c r="B92" s="25"/>
      <c r="C92" s="25"/>
      <c r="D92" s="25" t="s">
        <v>590</v>
      </c>
      <c r="E92" s="25"/>
      <c r="F92" s="25"/>
      <c r="G92" s="25" t="s">
        <v>591</v>
      </c>
      <c r="H92" s="25"/>
      <c r="I92" s="25"/>
      <c r="M92" s="24">
        <v>6</v>
      </c>
      <c r="N92" s="25"/>
      <c r="O92" s="25"/>
      <c r="P92" s="25"/>
      <c r="Q92" s="25" t="s">
        <v>595</v>
      </c>
      <c r="R92" s="25"/>
      <c r="S92" s="25" t="s">
        <v>596</v>
      </c>
      <c r="T92" s="25"/>
      <c r="U92" s="25"/>
    </row>
    <row r="93" spans="1:23" ht="90" x14ac:dyDescent="0.25">
      <c r="A93" s="24">
        <v>7</v>
      </c>
      <c r="B93" s="25" t="s">
        <v>592</v>
      </c>
      <c r="C93" s="25"/>
      <c r="D93" s="25"/>
      <c r="E93" s="25"/>
      <c r="F93" s="25"/>
      <c r="G93" s="25" t="s">
        <v>593</v>
      </c>
      <c r="H93" s="25"/>
      <c r="I93" s="25"/>
      <c r="M93" s="24">
        <v>7</v>
      </c>
      <c r="N93" s="25"/>
      <c r="O93" s="25"/>
      <c r="P93" s="25"/>
      <c r="Q93" s="25"/>
      <c r="R93" s="25"/>
      <c r="S93" s="25" t="s">
        <v>596</v>
      </c>
      <c r="T93" s="25"/>
      <c r="U93" s="25"/>
    </row>
    <row r="94" spans="1:23" x14ac:dyDescent="0.25">
      <c r="A94" s="24">
        <v>8</v>
      </c>
      <c r="B94" s="25"/>
      <c r="C94" s="25"/>
      <c r="D94" s="25"/>
      <c r="E94" s="25"/>
      <c r="F94" s="25"/>
      <c r="G94" s="25"/>
      <c r="H94" s="25"/>
      <c r="I94" s="25"/>
      <c r="M94" s="24">
        <v>8</v>
      </c>
      <c r="N94" s="25"/>
      <c r="O94" s="25"/>
      <c r="P94" s="25"/>
      <c r="Q94" s="25"/>
      <c r="R94" s="25"/>
      <c r="S94" s="25"/>
      <c r="T94" s="25"/>
      <c r="U94" s="25"/>
    </row>
    <row r="95" spans="1:23" x14ac:dyDescent="0.25">
      <c r="A95" s="24">
        <v>9</v>
      </c>
      <c r="B95" s="25"/>
      <c r="C95" s="25"/>
      <c r="D95" s="25"/>
      <c r="E95" s="25"/>
      <c r="G95" s="25"/>
      <c r="M95" s="24">
        <v>9</v>
      </c>
      <c r="N95" s="25"/>
      <c r="O95" s="25"/>
      <c r="P95" s="25"/>
      <c r="Q95" s="25"/>
      <c r="S95" s="25"/>
      <c r="T95" s="25"/>
    </row>
    <row r="96" spans="1:23" x14ac:dyDescent="0.25">
      <c r="A96" s="24">
        <v>10</v>
      </c>
      <c r="B96" s="25"/>
      <c r="C96" s="25"/>
      <c r="E96" s="25"/>
      <c r="H96" s="25"/>
      <c r="M96" s="24">
        <v>10</v>
      </c>
      <c r="N96" s="25"/>
      <c r="O96" s="25"/>
      <c r="Q96" s="25"/>
      <c r="R96" s="25"/>
      <c r="T96" s="25"/>
    </row>
    <row r="97" spans="1:23" x14ac:dyDescent="0.25">
      <c r="A97" s="24">
        <v>11</v>
      </c>
      <c r="H97" s="25"/>
      <c r="M97" s="24">
        <v>11</v>
      </c>
      <c r="R97" s="25"/>
      <c r="T97" s="25"/>
      <c r="U97" s="25"/>
    </row>
    <row r="98" spans="1:23" x14ac:dyDescent="0.25">
      <c r="A98" s="24">
        <v>12</v>
      </c>
      <c r="B98" s="25"/>
      <c r="C98" s="25"/>
      <c r="I98" s="25"/>
      <c r="M98" s="24">
        <v>12</v>
      </c>
      <c r="N98" s="25"/>
      <c r="O98" s="25"/>
      <c r="P98" s="25"/>
      <c r="R98" s="25"/>
      <c r="S98" s="25"/>
      <c r="T98" s="25"/>
      <c r="U98" s="25"/>
    </row>
    <row r="99" spans="1:23" x14ac:dyDescent="0.25">
      <c r="A99" s="24">
        <v>13</v>
      </c>
      <c r="B99" s="25"/>
      <c r="C99" s="25"/>
      <c r="I99" s="25"/>
      <c r="M99" s="24">
        <v>13</v>
      </c>
      <c r="N99" s="25"/>
      <c r="O99" s="25"/>
      <c r="P99" s="25"/>
      <c r="R99" s="25"/>
      <c r="S99" s="25"/>
      <c r="T99" s="25"/>
      <c r="U99" s="25"/>
    </row>
    <row r="100" spans="1:23" x14ac:dyDescent="0.25">
      <c r="A100" s="24">
        <v>14</v>
      </c>
      <c r="M100" s="24">
        <v>14</v>
      </c>
    </row>
    <row r="101" spans="1:23" x14ac:dyDescent="0.25">
      <c r="A101" s="24">
        <v>15</v>
      </c>
      <c r="M101" s="24">
        <v>15</v>
      </c>
    </row>
    <row r="102" spans="1:23" x14ac:dyDescent="0.25">
      <c r="A102" s="24">
        <v>16</v>
      </c>
      <c r="M102" s="24">
        <v>16</v>
      </c>
    </row>
    <row r="103" spans="1:23" x14ac:dyDescent="0.25">
      <c r="A103" s="24">
        <v>17</v>
      </c>
      <c r="M103" s="24">
        <v>17</v>
      </c>
    </row>
    <row r="104" spans="1:23" x14ac:dyDescent="0.25">
      <c r="A104" s="24">
        <v>18</v>
      </c>
      <c r="M104" s="24">
        <v>18</v>
      </c>
    </row>
    <row r="106" spans="1:23" x14ac:dyDescent="0.25">
      <c r="A106" s="23" t="s">
        <v>331</v>
      </c>
      <c r="B106" s="22" t="s">
        <v>1</v>
      </c>
      <c r="C106" s="22"/>
      <c r="D106" s="22"/>
      <c r="E106" s="22"/>
      <c r="F106" s="22"/>
      <c r="G106" s="22"/>
      <c r="H106" s="22"/>
      <c r="I106" s="22"/>
      <c r="J106" s="22"/>
      <c r="K106" s="22"/>
      <c r="M106" s="23" t="s">
        <v>22</v>
      </c>
      <c r="N106" s="22" t="s">
        <v>1</v>
      </c>
      <c r="O106" s="22"/>
      <c r="P106" s="22"/>
      <c r="Q106" s="22"/>
      <c r="R106" s="22"/>
      <c r="S106" s="22"/>
      <c r="T106" s="22"/>
      <c r="U106" s="22"/>
      <c r="V106" s="22"/>
      <c r="W106" s="22"/>
    </row>
    <row r="107" spans="1:23" ht="45" x14ac:dyDescent="0.25">
      <c r="A107" s="22" t="s">
        <v>2</v>
      </c>
      <c r="B107" s="26">
        <v>1</v>
      </c>
      <c r="C107" s="26">
        <v>2</v>
      </c>
      <c r="D107" s="26">
        <v>3</v>
      </c>
      <c r="E107" s="26">
        <v>4</v>
      </c>
      <c r="F107" s="26">
        <v>5</v>
      </c>
      <c r="G107" s="26">
        <v>6</v>
      </c>
      <c r="H107" s="26">
        <v>7</v>
      </c>
      <c r="I107" s="26">
        <v>8</v>
      </c>
      <c r="J107" s="26">
        <v>9</v>
      </c>
      <c r="K107" s="26">
        <v>10</v>
      </c>
      <c r="M107" s="22" t="s">
        <v>2</v>
      </c>
      <c r="N107" s="26">
        <v>1</v>
      </c>
      <c r="O107" s="26">
        <v>2</v>
      </c>
      <c r="P107" s="26">
        <v>3</v>
      </c>
      <c r="Q107" s="26">
        <v>4</v>
      </c>
      <c r="R107" s="26">
        <v>5</v>
      </c>
      <c r="S107" s="26">
        <v>6</v>
      </c>
      <c r="T107" s="26">
        <v>7</v>
      </c>
      <c r="U107" s="26">
        <v>8</v>
      </c>
      <c r="V107" s="26">
        <v>9</v>
      </c>
      <c r="W107" s="26">
        <v>10</v>
      </c>
    </row>
    <row r="108" spans="1:23" ht="45" x14ac:dyDescent="0.25">
      <c r="A108" s="24">
        <v>1</v>
      </c>
      <c r="B108" s="25"/>
      <c r="C108" s="25"/>
      <c r="D108" s="25"/>
      <c r="E108" s="25"/>
      <c r="F108" s="25" t="s">
        <v>588</v>
      </c>
      <c r="G108" s="25"/>
      <c r="H108" s="25"/>
      <c r="I108" s="25"/>
      <c r="M108" s="24">
        <v>1</v>
      </c>
      <c r="N108" s="25"/>
      <c r="O108" s="25"/>
      <c r="P108" s="25"/>
      <c r="Q108" s="25"/>
      <c r="R108" s="25"/>
      <c r="S108" s="25"/>
      <c r="T108" s="25"/>
      <c r="U108" s="25"/>
    </row>
    <row r="109" spans="1:23" ht="45" x14ac:dyDescent="0.25">
      <c r="A109" s="24">
        <v>2</v>
      </c>
      <c r="B109" s="25"/>
      <c r="C109" s="25"/>
      <c r="D109" s="25" t="s">
        <v>597</v>
      </c>
      <c r="E109" s="25"/>
      <c r="F109" s="25"/>
      <c r="G109" s="25"/>
      <c r="H109" s="25"/>
      <c r="I109" s="25"/>
      <c r="M109" s="24">
        <v>2</v>
      </c>
      <c r="N109" s="25"/>
      <c r="O109" s="25"/>
      <c r="P109" s="25"/>
      <c r="Q109" s="25"/>
      <c r="R109" s="25"/>
      <c r="S109" s="25"/>
      <c r="T109" s="25"/>
      <c r="U109" s="25"/>
    </row>
    <row r="110" spans="1:23" ht="45" x14ac:dyDescent="0.25">
      <c r="A110" s="24">
        <v>3</v>
      </c>
      <c r="B110" s="25" t="s">
        <v>576</v>
      </c>
      <c r="C110" s="25"/>
      <c r="D110" s="25"/>
      <c r="E110" s="25"/>
      <c r="F110" s="25"/>
      <c r="G110" s="25"/>
      <c r="H110" s="25"/>
      <c r="I110" s="25"/>
      <c r="M110" s="24">
        <v>3</v>
      </c>
      <c r="N110" s="25"/>
      <c r="O110" s="25"/>
      <c r="P110" s="25"/>
      <c r="Q110" s="25"/>
      <c r="R110" s="25"/>
      <c r="S110" s="25"/>
      <c r="T110" s="25"/>
      <c r="U110" s="25"/>
    </row>
    <row r="111" spans="1:23" ht="75" x14ac:dyDescent="0.25">
      <c r="A111" s="24">
        <v>4</v>
      </c>
      <c r="B111" s="25"/>
      <c r="C111" s="25"/>
      <c r="D111" s="25"/>
      <c r="E111" s="25"/>
      <c r="F111" s="25" t="s">
        <v>598</v>
      </c>
      <c r="G111" s="25" t="s">
        <v>599</v>
      </c>
      <c r="H111" s="25"/>
      <c r="I111" s="25"/>
      <c r="M111" s="24">
        <v>4</v>
      </c>
      <c r="N111" s="25" t="s">
        <v>606</v>
      </c>
      <c r="O111" s="25"/>
      <c r="P111" s="25"/>
      <c r="Q111" s="25" t="s">
        <v>607</v>
      </c>
      <c r="R111" s="25"/>
      <c r="S111" s="25"/>
      <c r="T111" s="25" t="s">
        <v>608</v>
      </c>
      <c r="U111" s="25"/>
    </row>
    <row r="112" spans="1:23" ht="90" x14ac:dyDescent="0.25">
      <c r="A112" s="24">
        <v>5</v>
      </c>
      <c r="B112" s="25"/>
      <c r="C112" s="25" t="s">
        <v>600</v>
      </c>
      <c r="D112" s="25"/>
      <c r="E112" s="25"/>
      <c r="F112" s="25" t="s">
        <v>601</v>
      </c>
      <c r="G112" s="25"/>
      <c r="H112" s="25"/>
      <c r="I112" s="25" t="s">
        <v>602</v>
      </c>
      <c r="M112" s="24">
        <v>5</v>
      </c>
      <c r="N112" s="25" t="s">
        <v>609</v>
      </c>
      <c r="O112" s="25"/>
      <c r="P112" s="25"/>
      <c r="Q112" s="25"/>
      <c r="R112" s="25"/>
      <c r="S112" s="25"/>
      <c r="T112" s="25"/>
      <c r="U112" s="25"/>
    </row>
    <row r="113" spans="1:23" ht="90" x14ac:dyDescent="0.25">
      <c r="A113" s="24">
        <v>6</v>
      </c>
      <c r="B113" s="25" t="s">
        <v>603</v>
      </c>
      <c r="C113" s="25" t="s">
        <v>604</v>
      </c>
      <c r="D113" s="25"/>
      <c r="E113" s="25"/>
      <c r="F113" s="25"/>
      <c r="G113" s="25" t="s">
        <v>605</v>
      </c>
      <c r="H113" s="25"/>
      <c r="I113" s="25"/>
      <c r="M113" s="24">
        <v>6</v>
      </c>
      <c r="N113" s="25"/>
      <c r="O113" s="25" t="s">
        <v>610</v>
      </c>
      <c r="P113" s="25"/>
      <c r="Q113" s="25"/>
      <c r="R113" s="25"/>
      <c r="S113" s="25"/>
      <c r="T113" s="25"/>
      <c r="U113" s="25" t="s">
        <v>611</v>
      </c>
    </row>
    <row r="114" spans="1:23" ht="90" x14ac:dyDescent="0.25">
      <c r="A114" s="24">
        <v>7</v>
      </c>
      <c r="B114" s="25"/>
      <c r="C114" s="25"/>
      <c r="D114" s="25"/>
      <c r="E114" s="25"/>
      <c r="F114" s="25"/>
      <c r="G114" s="25"/>
      <c r="H114" s="25"/>
      <c r="I114" s="25"/>
      <c r="M114" s="24">
        <v>7</v>
      </c>
      <c r="N114" s="25" t="s">
        <v>612</v>
      </c>
      <c r="O114" s="25"/>
      <c r="P114" s="25"/>
      <c r="Q114" s="25"/>
      <c r="R114" s="25"/>
      <c r="S114" s="25"/>
      <c r="T114" s="25"/>
      <c r="U114" s="25"/>
    </row>
    <row r="115" spans="1:23" x14ac:dyDescent="0.25">
      <c r="A115" s="24">
        <v>8</v>
      </c>
      <c r="B115" s="25"/>
      <c r="C115" s="25"/>
      <c r="D115" s="25"/>
      <c r="E115" s="25"/>
      <c r="F115" s="25"/>
      <c r="G115" s="25"/>
      <c r="H115" s="25"/>
      <c r="I115" s="25"/>
      <c r="M115" s="24">
        <v>8</v>
      </c>
      <c r="N115" s="25"/>
      <c r="O115" s="25"/>
      <c r="P115" s="25"/>
      <c r="Q115" s="25"/>
      <c r="R115" s="25"/>
      <c r="S115" s="25"/>
      <c r="T115" s="25"/>
      <c r="U115" s="25"/>
    </row>
    <row r="116" spans="1:23" x14ac:dyDescent="0.25">
      <c r="A116" s="24">
        <v>9</v>
      </c>
      <c r="B116" s="25"/>
      <c r="C116" s="25"/>
      <c r="D116" s="25"/>
      <c r="E116" s="25"/>
      <c r="G116" s="25"/>
      <c r="M116" s="24">
        <v>9</v>
      </c>
      <c r="N116" s="25"/>
      <c r="O116" s="25"/>
      <c r="P116" s="25"/>
      <c r="Q116" s="25"/>
      <c r="S116" s="25"/>
      <c r="T116" s="25"/>
    </row>
    <row r="117" spans="1:23" x14ac:dyDescent="0.25">
      <c r="A117" s="24">
        <v>10</v>
      </c>
      <c r="B117" s="25"/>
      <c r="C117" s="25"/>
      <c r="E117" s="25"/>
      <c r="H117" s="25"/>
      <c r="M117" s="24">
        <v>10</v>
      </c>
      <c r="N117" s="25"/>
      <c r="O117" s="25"/>
      <c r="Q117" s="25"/>
      <c r="R117" s="25"/>
      <c r="T117" s="25"/>
    </row>
    <row r="118" spans="1:23" x14ac:dyDescent="0.25">
      <c r="A118" s="24">
        <v>11</v>
      </c>
      <c r="H118" s="25"/>
      <c r="M118" s="24">
        <v>11</v>
      </c>
      <c r="R118" s="25"/>
      <c r="T118" s="25"/>
      <c r="U118" s="25"/>
    </row>
    <row r="119" spans="1:23" x14ac:dyDescent="0.25">
      <c r="A119" s="24">
        <v>12</v>
      </c>
      <c r="B119" s="25"/>
      <c r="C119" s="25"/>
      <c r="I119" s="25"/>
      <c r="M119" s="24">
        <v>12</v>
      </c>
      <c r="N119" s="25"/>
      <c r="O119" s="25"/>
      <c r="P119" s="25"/>
      <c r="R119" s="25"/>
      <c r="S119" s="25"/>
      <c r="T119" s="25"/>
      <c r="U119" s="25"/>
    </row>
    <row r="120" spans="1:23" x14ac:dyDescent="0.25">
      <c r="A120" s="24">
        <v>13</v>
      </c>
      <c r="B120" s="25"/>
      <c r="C120" s="25"/>
      <c r="I120" s="25"/>
      <c r="M120" s="24">
        <v>13</v>
      </c>
      <c r="N120" s="25"/>
      <c r="O120" s="25"/>
      <c r="P120" s="25"/>
      <c r="R120" s="25"/>
      <c r="S120" s="25"/>
      <c r="T120" s="25"/>
      <c r="U120" s="25"/>
    </row>
    <row r="121" spans="1:23" x14ac:dyDescent="0.25">
      <c r="A121" s="24">
        <v>14</v>
      </c>
      <c r="M121" s="24">
        <v>14</v>
      </c>
    </row>
    <row r="122" spans="1:23" x14ac:dyDescent="0.25">
      <c r="A122" s="24">
        <v>15</v>
      </c>
      <c r="M122" s="24">
        <v>15</v>
      </c>
    </row>
    <row r="123" spans="1:23" x14ac:dyDescent="0.25">
      <c r="A123" s="24">
        <v>16</v>
      </c>
      <c r="M123" s="24">
        <v>16</v>
      </c>
    </row>
    <row r="124" spans="1:23" x14ac:dyDescent="0.25">
      <c r="A124" s="24">
        <v>17</v>
      </c>
      <c r="M124" s="24">
        <v>17</v>
      </c>
    </row>
    <row r="125" spans="1:23" x14ac:dyDescent="0.25">
      <c r="A125" s="24">
        <v>18</v>
      </c>
      <c r="M125" s="24">
        <v>18</v>
      </c>
    </row>
    <row r="127" spans="1:23" x14ac:dyDescent="0.25">
      <c r="A127" s="23" t="s">
        <v>24</v>
      </c>
      <c r="B127" s="22"/>
      <c r="C127" s="22"/>
      <c r="D127" s="22"/>
      <c r="E127" s="22"/>
      <c r="F127" s="22"/>
      <c r="G127" s="22"/>
      <c r="H127" s="22"/>
      <c r="I127" s="22"/>
      <c r="J127" s="22"/>
      <c r="K127" s="22"/>
      <c r="M127" s="23" t="s">
        <v>25</v>
      </c>
      <c r="N127" s="22"/>
      <c r="O127" s="22"/>
      <c r="P127" s="22"/>
      <c r="Q127" s="22"/>
      <c r="R127" s="22"/>
      <c r="S127" s="22"/>
      <c r="T127" s="22"/>
      <c r="U127" s="22"/>
      <c r="V127" s="22"/>
      <c r="W127" s="22"/>
    </row>
    <row r="128" spans="1:23" ht="45" x14ac:dyDescent="0.25">
      <c r="A128" s="22" t="s">
        <v>2</v>
      </c>
      <c r="B128" s="26">
        <v>1</v>
      </c>
      <c r="C128" s="26">
        <v>2</v>
      </c>
      <c r="D128" s="26">
        <v>3</v>
      </c>
      <c r="E128" s="26">
        <v>4</v>
      </c>
      <c r="F128" s="26">
        <v>5</v>
      </c>
      <c r="G128" s="26">
        <v>6</v>
      </c>
      <c r="H128" s="26">
        <v>7</v>
      </c>
      <c r="I128" s="26">
        <v>8</v>
      </c>
      <c r="J128" s="26">
        <v>9</v>
      </c>
      <c r="K128" s="26">
        <v>10</v>
      </c>
      <c r="M128" s="22" t="s">
        <v>2</v>
      </c>
      <c r="N128" s="26">
        <v>1</v>
      </c>
      <c r="O128" s="26">
        <v>2</v>
      </c>
      <c r="P128" s="26">
        <v>3</v>
      </c>
      <c r="Q128" s="26">
        <v>4</v>
      </c>
      <c r="R128" s="26">
        <v>5</v>
      </c>
      <c r="S128" s="26">
        <v>6</v>
      </c>
      <c r="T128" s="26">
        <v>7</v>
      </c>
      <c r="U128" s="26">
        <v>8</v>
      </c>
      <c r="V128" s="26">
        <v>9</v>
      </c>
      <c r="W128" s="26">
        <v>10</v>
      </c>
    </row>
    <row r="129" spans="1:21" x14ac:dyDescent="0.25">
      <c r="A129" s="24">
        <v>1</v>
      </c>
      <c r="B129" s="25"/>
      <c r="C129" s="25"/>
      <c r="D129" s="25"/>
      <c r="E129" s="25"/>
      <c r="F129" s="25"/>
      <c r="G129" s="25"/>
      <c r="H129" s="25"/>
      <c r="I129" s="25"/>
      <c r="M129" s="24">
        <v>1</v>
      </c>
      <c r="N129" s="25"/>
      <c r="O129" s="25"/>
      <c r="P129" s="25"/>
      <c r="Q129" s="25"/>
      <c r="R129" s="25"/>
      <c r="S129" s="25"/>
      <c r="T129" s="25"/>
      <c r="U129" s="25"/>
    </row>
    <row r="130" spans="1:21" x14ac:dyDescent="0.25">
      <c r="A130" s="24">
        <v>2</v>
      </c>
      <c r="B130" s="25"/>
      <c r="C130" s="25"/>
      <c r="D130" s="25"/>
      <c r="E130" s="25"/>
      <c r="F130" s="25"/>
      <c r="G130" s="25"/>
      <c r="H130" s="25"/>
      <c r="I130" s="25"/>
      <c r="M130" s="24">
        <v>2</v>
      </c>
      <c r="N130" s="25"/>
      <c r="O130" s="25"/>
      <c r="P130" s="25"/>
      <c r="Q130" s="25"/>
      <c r="R130" s="25"/>
      <c r="S130" s="25"/>
      <c r="T130" s="25"/>
      <c r="U130" s="25"/>
    </row>
    <row r="131" spans="1:21" x14ac:dyDescent="0.25">
      <c r="A131" s="24">
        <v>3</v>
      </c>
      <c r="B131" s="25"/>
      <c r="C131" s="25"/>
      <c r="D131" s="25"/>
      <c r="E131" s="25"/>
      <c r="F131" s="25"/>
      <c r="G131" s="25"/>
      <c r="H131" s="25"/>
      <c r="I131" s="25"/>
      <c r="M131" s="24">
        <v>3</v>
      </c>
      <c r="N131" s="25"/>
      <c r="O131" s="25"/>
      <c r="P131" s="25"/>
      <c r="Q131" s="25"/>
      <c r="R131" s="25"/>
      <c r="S131" s="25"/>
      <c r="T131" s="25"/>
      <c r="U131" s="25"/>
    </row>
    <row r="132" spans="1:21" ht="75" x14ac:dyDescent="0.25">
      <c r="A132" s="24">
        <v>4</v>
      </c>
      <c r="B132" s="25"/>
      <c r="C132" s="25"/>
      <c r="D132" s="25"/>
      <c r="E132" s="25"/>
      <c r="F132" s="25"/>
      <c r="G132" s="25"/>
      <c r="H132" s="25"/>
      <c r="I132" s="25"/>
      <c r="M132" s="24">
        <v>4</v>
      </c>
      <c r="N132" s="25"/>
      <c r="O132" s="25"/>
      <c r="P132" s="25"/>
      <c r="Q132" s="25"/>
      <c r="R132" s="25"/>
      <c r="S132" s="25"/>
      <c r="T132" s="25" t="s">
        <v>616</v>
      </c>
      <c r="U132" s="25"/>
    </row>
    <row r="133" spans="1:21" x14ac:dyDescent="0.25">
      <c r="A133" s="24">
        <v>5</v>
      </c>
      <c r="B133" s="25"/>
      <c r="C133" s="25"/>
      <c r="D133" s="25"/>
      <c r="E133" s="25"/>
      <c r="F133" s="25"/>
      <c r="G133" s="25"/>
      <c r="H133" s="25"/>
      <c r="I133" s="25"/>
      <c r="M133" s="24">
        <v>5</v>
      </c>
      <c r="N133" s="25"/>
      <c r="O133" s="25"/>
      <c r="P133" s="25"/>
      <c r="Q133" s="25"/>
      <c r="R133" s="25"/>
      <c r="S133" s="25"/>
      <c r="T133" s="25"/>
      <c r="U133" s="25"/>
    </row>
    <row r="134" spans="1:21" ht="75" x14ac:dyDescent="0.25">
      <c r="A134" s="24">
        <v>6</v>
      </c>
      <c r="B134" s="25"/>
      <c r="C134" s="25" t="s">
        <v>613</v>
      </c>
      <c r="D134" s="25"/>
      <c r="E134" s="25"/>
      <c r="F134" s="25" t="s">
        <v>614</v>
      </c>
      <c r="G134" s="25"/>
      <c r="H134" s="25"/>
      <c r="I134" s="25" t="s">
        <v>615</v>
      </c>
      <c r="M134" s="24">
        <v>6</v>
      </c>
      <c r="N134" s="25"/>
      <c r="O134" s="25"/>
      <c r="P134" s="25"/>
      <c r="Q134" s="25"/>
      <c r="R134" s="25" t="s">
        <v>588</v>
      </c>
      <c r="S134" s="25"/>
      <c r="T134" s="25"/>
      <c r="U134" s="25"/>
    </row>
    <row r="135" spans="1:21" x14ac:dyDescent="0.25">
      <c r="A135" s="24">
        <v>7</v>
      </c>
      <c r="B135" s="25"/>
      <c r="C135" s="25"/>
      <c r="D135" s="25"/>
      <c r="E135" s="25"/>
      <c r="F135" s="25"/>
      <c r="G135" s="25"/>
      <c r="H135" s="25"/>
      <c r="I135" s="25"/>
      <c r="M135" s="24">
        <v>7</v>
      </c>
      <c r="N135" s="25"/>
      <c r="O135" s="25"/>
      <c r="P135" s="25"/>
      <c r="Q135" s="25"/>
      <c r="R135" s="25"/>
      <c r="S135" s="25"/>
      <c r="T135" s="25"/>
      <c r="U135" s="25"/>
    </row>
    <row r="136" spans="1:21" x14ac:dyDescent="0.25">
      <c r="A136" s="24">
        <v>8</v>
      </c>
      <c r="B136" s="25"/>
      <c r="C136" s="25"/>
      <c r="D136" s="25"/>
      <c r="E136" s="25"/>
      <c r="F136" s="25"/>
      <c r="G136" s="25"/>
      <c r="H136" s="25"/>
      <c r="I136" s="25"/>
      <c r="M136" s="24">
        <v>8</v>
      </c>
      <c r="N136" s="25"/>
      <c r="O136" s="25"/>
      <c r="P136" s="25"/>
      <c r="Q136" s="25"/>
      <c r="R136" s="25"/>
      <c r="S136" s="25"/>
      <c r="T136" s="25"/>
      <c r="U136" s="25"/>
    </row>
    <row r="137" spans="1:21" x14ac:dyDescent="0.25">
      <c r="A137" s="24">
        <v>9</v>
      </c>
      <c r="B137" s="25"/>
      <c r="C137" s="25"/>
      <c r="D137" s="25"/>
      <c r="E137" s="25"/>
      <c r="G137" s="25"/>
      <c r="M137" s="24">
        <v>9</v>
      </c>
      <c r="N137" s="25"/>
      <c r="O137" s="25"/>
      <c r="P137" s="25"/>
      <c r="Q137" s="25"/>
      <c r="S137" s="25"/>
      <c r="T137" s="25"/>
    </row>
    <row r="138" spans="1:21" x14ac:dyDescent="0.25">
      <c r="A138" s="24">
        <v>10</v>
      </c>
      <c r="B138" s="25"/>
      <c r="C138" s="25"/>
      <c r="E138" s="25"/>
      <c r="H138" s="25"/>
      <c r="M138" s="24">
        <v>10</v>
      </c>
      <c r="N138" s="25"/>
      <c r="O138" s="25"/>
      <c r="Q138" s="25"/>
      <c r="R138" s="25"/>
      <c r="T138" s="25"/>
    </row>
    <row r="139" spans="1:21" x14ac:dyDescent="0.25">
      <c r="A139" s="24">
        <v>11</v>
      </c>
      <c r="H139" s="25"/>
      <c r="M139" s="24">
        <v>11</v>
      </c>
      <c r="R139" s="25"/>
      <c r="T139" s="25"/>
      <c r="U139" s="25"/>
    </row>
    <row r="140" spans="1:21" x14ac:dyDescent="0.25">
      <c r="A140" s="24">
        <v>12</v>
      </c>
      <c r="B140" s="25"/>
      <c r="C140" s="25"/>
      <c r="I140" s="25"/>
      <c r="M140" s="24">
        <v>12</v>
      </c>
      <c r="N140" s="25"/>
      <c r="O140" s="25"/>
      <c r="P140" s="25"/>
      <c r="R140" s="25"/>
      <c r="S140" s="25"/>
      <c r="T140" s="25"/>
      <c r="U140" s="25"/>
    </row>
    <row r="141" spans="1:21" x14ac:dyDescent="0.25">
      <c r="A141" s="24">
        <v>13</v>
      </c>
      <c r="B141" s="25"/>
      <c r="C141" s="25"/>
      <c r="I141" s="25"/>
      <c r="M141" s="24">
        <v>13</v>
      </c>
      <c r="N141" s="25"/>
      <c r="O141" s="25"/>
      <c r="P141" s="25"/>
      <c r="R141" s="25"/>
      <c r="S141" s="25"/>
      <c r="T141" s="25"/>
      <c r="U141" s="25"/>
    </row>
    <row r="142" spans="1:21" x14ac:dyDescent="0.25">
      <c r="A142" s="24">
        <v>14</v>
      </c>
      <c r="M142" s="24">
        <v>14</v>
      </c>
    </row>
    <row r="143" spans="1:21" x14ac:dyDescent="0.25">
      <c r="A143" s="24">
        <v>15</v>
      </c>
      <c r="M143" s="24">
        <v>15</v>
      </c>
    </row>
    <row r="144" spans="1:21" x14ac:dyDescent="0.25">
      <c r="A144" s="24">
        <v>16</v>
      </c>
      <c r="M144" s="24">
        <v>16</v>
      </c>
    </row>
    <row r="145" spans="1:13" x14ac:dyDescent="0.25">
      <c r="A145" s="24">
        <v>17</v>
      </c>
      <c r="M145" s="24">
        <v>17</v>
      </c>
    </row>
    <row r="146" spans="1:13" x14ac:dyDescent="0.25">
      <c r="A146" s="24">
        <v>18</v>
      </c>
      <c r="M146" s="24">
        <v>18</v>
      </c>
    </row>
    <row r="148" spans="1:13" x14ac:dyDescent="0.25">
      <c r="A148" s="23" t="s">
        <v>26</v>
      </c>
      <c r="B148" s="22" t="s">
        <v>1</v>
      </c>
      <c r="C148" s="22"/>
      <c r="D148" s="22"/>
      <c r="E148" s="22"/>
      <c r="F148" s="22"/>
      <c r="G148" s="22"/>
      <c r="H148" s="22"/>
      <c r="I148" s="22"/>
      <c r="J148" s="22"/>
      <c r="K148" s="22"/>
    </row>
    <row r="149" spans="1:13" ht="45" x14ac:dyDescent="0.25">
      <c r="A149" s="22" t="s">
        <v>2</v>
      </c>
      <c r="B149" s="26">
        <v>1</v>
      </c>
      <c r="C149" s="26">
        <v>2</v>
      </c>
      <c r="D149" s="26">
        <v>3</v>
      </c>
      <c r="E149" s="26">
        <v>4</v>
      </c>
      <c r="F149" s="26">
        <v>5</v>
      </c>
      <c r="G149" s="26">
        <v>6</v>
      </c>
      <c r="H149" s="26">
        <v>7</v>
      </c>
      <c r="I149" s="26">
        <v>8</v>
      </c>
      <c r="J149" s="26">
        <v>9</v>
      </c>
      <c r="K149" s="26">
        <v>10</v>
      </c>
    </row>
    <row r="150" spans="1:13" x14ac:dyDescent="0.25">
      <c r="A150" s="24">
        <v>1</v>
      </c>
      <c r="B150" s="25"/>
      <c r="C150" s="25"/>
      <c r="D150" s="25"/>
      <c r="E150" s="25"/>
      <c r="F150" s="25"/>
      <c r="G150" s="25"/>
      <c r="H150" s="25"/>
      <c r="I150" s="25"/>
    </row>
    <row r="151" spans="1:13" x14ac:dyDescent="0.25">
      <c r="A151" s="24">
        <v>2</v>
      </c>
      <c r="B151" s="25"/>
      <c r="C151" s="25"/>
      <c r="D151" s="25"/>
      <c r="E151" s="25"/>
      <c r="F151" s="25"/>
      <c r="G151" s="25"/>
      <c r="H151" s="25"/>
      <c r="I151" s="25"/>
    </row>
    <row r="152" spans="1:13" x14ac:dyDescent="0.25">
      <c r="A152" s="24">
        <v>3</v>
      </c>
      <c r="B152" s="25"/>
      <c r="C152" s="25"/>
      <c r="D152" s="25"/>
      <c r="E152" s="25"/>
      <c r="F152" s="25"/>
      <c r="G152" s="25"/>
      <c r="H152" s="25"/>
      <c r="I152" s="25"/>
    </row>
    <row r="153" spans="1:13" ht="45" x14ac:dyDescent="0.25">
      <c r="A153" s="24">
        <v>4</v>
      </c>
      <c r="B153" s="25" t="s">
        <v>617</v>
      </c>
      <c r="C153" s="25"/>
      <c r="D153" s="25"/>
      <c r="E153" s="25" t="s">
        <v>618</v>
      </c>
      <c r="F153" s="25"/>
      <c r="G153" s="25"/>
      <c r="H153" s="25" t="s">
        <v>619</v>
      </c>
      <c r="I153" s="25"/>
    </row>
    <row r="154" spans="1:13" ht="45" x14ac:dyDescent="0.25">
      <c r="A154" s="24">
        <v>5</v>
      </c>
      <c r="B154" s="25" t="s">
        <v>620</v>
      </c>
      <c r="C154" s="25"/>
      <c r="D154" s="25"/>
      <c r="E154" s="25"/>
      <c r="F154" s="25"/>
      <c r="G154" s="25"/>
      <c r="H154" s="25"/>
      <c r="I154" s="25"/>
    </row>
    <row r="155" spans="1:13" ht="45" x14ac:dyDescent="0.25">
      <c r="A155" s="24">
        <v>6</v>
      </c>
      <c r="B155" s="25"/>
      <c r="C155" s="25" t="s">
        <v>621</v>
      </c>
      <c r="D155" s="25"/>
      <c r="E155" s="25"/>
      <c r="F155" s="25" t="s">
        <v>622</v>
      </c>
      <c r="G155" s="25"/>
      <c r="H155" s="25"/>
      <c r="I155" s="25" t="s">
        <v>623</v>
      </c>
    </row>
    <row r="156" spans="1:13" ht="45" x14ac:dyDescent="0.25">
      <c r="A156" s="24">
        <v>7</v>
      </c>
      <c r="B156" s="25" t="s">
        <v>624</v>
      </c>
      <c r="C156" s="25"/>
      <c r="D156" s="25"/>
      <c r="E156" s="25"/>
      <c r="F156" s="25"/>
      <c r="G156" s="25"/>
      <c r="H156" s="25"/>
      <c r="I156" s="25"/>
    </row>
    <row r="157" spans="1:13" x14ac:dyDescent="0.25">
      <c r="A157" s="24">
        <v>8</v>
      </c>
      <c r="B157" s="25"/>
      <c r="C157" s="25"/>
      <c r="D157" s="25"/>
      <c r="E157" s="25"/>
      <c r="F157" s="25"/>
      <c r="G157" s="25"/>
      <c r="H157" s="25"/>
      <c r="I157" s="25"/>
    </row>
    <row r="158" spans="1:13" x14ac:dyDescent="0.25">
      <c r="A158" s="24">
        <v>9</v>
      </c>
      <c r="B158" s="25"/>
      <c r="C158" s="25"/>
      <c r="D158" s="25"/>
      <c r="E158" s="25"/>
      <c r="G158" s="25"/>
    </row>
    <row r="159" spans="1:13" x14ac:dyDescent="0.25">
      <c r="A159" s="24">
        <v>10</v>
      </c>
      <c r="B159" s="25"/>
      <c r="C159" s="25"/>
      <c r="E159" s="25"/>
      <c r="H159" s="25"/>
    </row>
    <row r="160" spans="1:13" x14ac:dyDescent="0.25">
      <c r="A160" s="24">
        <v>11</v>
      </c>
      <c r="H160" s="25"/>
    </row>
    <row r="161" spans="1:9" x14ac:dyDescent="0.25">
      <c r="A161" s="24">
        <v>12</v>
      </c>
      <c r="B161" s="25"/>
      <c r="C161" s="25"/>
      <c r="I161" s="25"/>
    </row>
    <row r="162" spans="1:9" x14ac:dyDescent="0.25">
      <c r="A162" s="24">
        <v>13</v>
      </c>
      <c r="B162" s="25"/>
      <c r="C162" s="25"/>
      <c r="I162" s="25"/>
    </row>
    <row r="163" spans="1:9" x14ac:dyDescent="0.25">
      <c r="A163" s="24">
        <v>14</v>
      </c>
    </row>
    <row r="164" spans="1:9" x14ac:dyDescent="0.25">
      <c r="A164" s="24">
        <v>15</v>
      </c>
    </row>
    <row r="165" spans="1:9" x14ac:dyDescent="0.25">
      <c r="A165" s="24">
        <v>16</v>
      </c>
    </row>
    <row r="166" spans="1:9" x14ac:dyDescent="0.25">
      <c r="A166" s="24">
        <v>17</v>
      </c>
    </row>
    <row r="167" spans="1:9" x14ac:dyDescent="0.25">
      <c r="A167" s="24">
        <v>18</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K18"/>
  <sheetViews>
    <sheetView zoomScale="70" zoomScaleNormal="70" workbookViewId="0">
      <selection activeCell="I3" sqref="I3"/>
    </sheetView>
  </sheetViews>
  <sheetFormatPr defaultColWidth="53.85546875" defaultRowHeight="15" x14ac:dyDescent="0.25"/>
  <cols>
    <col min="1" max="1" width="3" bestFit="1" customWidth="1"/>
    <col min="2" max="7" width="23.7109375" bestFit="1" customWidth="1"/>
    <col min="8" max="8" width="22.28515625" bestFit="1" customWidth="1"/>
    <col min="9" max="9" width="23.7109375" bestFit="1" customWidth="1"/>
    <col min="10" max="10" width="2" bestFit="1" customWidth="1"/>
    <col min="11" max="11" width="3" bestFit="1" customWidth="1"/>
  </cols>
  <sheetData>
    <row r="1" spans="1:11" x14ac:dyDescent="0.25">
      <c r="A1" s="5"/>
      <c r="B1" s="5">
        <v>1</v>
      </c>
      <c r="C1" s="5">
        <v>2</v>
      </c>
      <c r="D1" s="5">
        <v>3</v>
      </c>
      <c r="E1" s="5">
        <v>4</v>
      </c>
      <c r="F1" s="5">
        <v>5</v>
      </c>
      <c r="G1" s="5">
        <v>6</v>
      </c>
      <c r="H1" s="5">
        <v>7</v>
      </c>
      <c r="I1" s="5">
        <v>8</v>
      </c>
      <c r="J1" s="5">
        <v>9</v>
      </c>
      <c r="K1" s="5">
        <v>10</v>
      </c>
    </row>
    <row r="2" spans="1:11" ht="375" x14ac:dyDescent="0.25">
      <c r="A2" s="5">
        <v>1</v>
      </c>
      <c r="B2" s="121" t="s">
        <v>724</v>
      </c>
      <c r="C2" s="121" t="s">
        <v>725</v>
      </c>
      <c r="D2" s="121" t="s">
        <v>726</v>
      </c>
      <c r="E2" s="121" t="s">
        <v>727</v>
      </c>
      <c r="F2" s="121" t="s">
        <v>728</v>
      </c>
      <c r="G2" s="121" t="s">
        <v>729</v>
      </c>
      <c r="H2" s="121" t="s">
        <v>730</v>
      </c>
      <c r="I2" s="121" t="s">
        <v>731</v>
      </c>
      <c r="J2" s="122"/>
      <c r="K2" s="122"/>
    </row>
    <row r="3" spans="1:11" ht="195" x14ac:dyDescent="0.25">
      <c r="A3" s="5">
        <v>2</v>
      </c>
      <c r="B3" s="121" t="s">
        <v>732</v>
      </c>
      <c r="C3" s="121" t="s">
        <v>733</v>
      </c>
      <c r="D3" s="121" t="s">
        <v>734</v>
      </c>
      <c r="E3" s="121" t="s">
        <v>735</v>
      </c>
      <c r="F3" s="121" t="s">
        <v>736</v>
      </c>
      <c r="G3" s="121" t="s">
        <v>737</v>
      </c>
      <c r="H3" s="121" t="s">
        <v>738</v>
      </c>
      <c r="I3" s="121" t="s">
        <v>739</v>
      </c>
      <c r="J3" s="122"/>
      <c r="K3" s="122"/>
    </row>
    <row r="4" spans="1:11" ht="255" x14ac:dyDescent="0.25">
      <c r="A4" s="5">
        <v>3</v>
      </c>
      <c r="B4" s="121" t="s">
        <v>740</v>
      </c>
      <c r="C4" s="121" t="s">
        <v>741</v>
      </c>
      <c r="D4" s="121" t="s">
        <v>742</v>
      </c>
      <c r="E4" s="121" t="s">
        <v>743</v>
      </c>
      <c r="F4" s="121" t="s">
        <v>744</v>
      </c>
      <c r="G4" s="121" t="s">
        <v>745</v>
      </c>
      <c r="H4" s="121" t="s">
        <v>746</v>
      </c>
      <c r="I4" s="121" t="s">
        <v>747</v>
      </c>
      <c r="J4" s="122"/>
      <c r="K4" s="122"/>
    </row>
    <row r="5" spans="1:11" ht="255" x14ac:dyDescent="0.25">
      <c r="A5" s="5">
        <v>4</v>
      </c>
      <c r="B5" s="121" t="s">
        <v>748</v>
      </c>
      <c r="C5" s="121" t="s">
        <v>749</v>
      </c>
      <c r="D5" s="121" t="s">
        <v>750</v>
      </c>
      <c r="E5" s="121" t="s">
        <v>751</v>
      </c>
      <c r="F5" s="121" t="s">
        <v>752</v>
      </c>
      <c r="G5" s="121" t="s">
        <v>753</v>
      </c>
      <c r="H5" s="121" t="s">
        <v>754</v>
      </c>
      <c r="I5" s="121" t="s">
        <v>755</v>
      </c>
      <c r="J5" s="122"/>
      <c r="K5" s="122"/>
    </row>
    <row r="6" spans="1:11" ht="315" x14ac:dyDescent="0.25">
      <c r="A6" s="5">
        <v>5</v>
      </c>
      <c r="B6" s="121" t="s">
        <v>756</v>
      </c>
      <c r="C6" s="121" t="s">
        <v>757</v>
      </c>
      <c r="D6" s="121" t="s">
        <v>758</v>
      </c>
      <c r="E6" s="121" t="s">
        <v>759</v>
      </c>
      <c r="F6" s="121" t="s">
        <v>760</v>
      </c>
      <c r="G6" s="121" t="s">
        <v>761</v>
      </c>
      <c r="H6" s="121"/>
      <c r="I6" s="121" t="s">
        <v>762</v>
      </c>
      <c r="J6" s="122"/>
      <c r="K6" s="122"/>
    </row>
    <row r="7" spans="1:11" ht="409.5" x14ac:dyDescent="0.25">
      <c r="A7" s="5">
        <v>6</v>
      </c>
      <c r="B7" s="121" t="s">
        <v>763</v>
      </c>
      <c r="C7" s="121" t="s">
        <v>764</v>
      </c>
      <c r="D7" s="121" t="s">
        <v>765</v>
      </c>
      <c r="E7" s="121" t="s">
        <v>766</v>
      </c>
      <c r="F7" s="121" t="s">
        <v>767</v>
      </c>
      <c r="G7" s="121" t="s">
        <v>768</v>
      </c>
      <c r="H7" s="121" t="s">
        <v>769</v>
      </c>
      <c r="I7" s="121" t="s">
        <v>770</v>
      </c>
      <c r="J7" s="122"/>
      <c r="K7" s="122"/>
    </row>
    <row r="8" spans="1:11" ht="409.5" x14ac:dyDescent="0.25">
      <c r="A8" s="5">
        <v>7</v>
      </c>
      <c r="B8" s="121" t="s">
        <v>771</v>
      </c>
      <c r="C8" s="121" t="s">
        <v>772</v>
      </c>
      <c r="D8" s="121" t="s">
        <v>773</v>
      </c>
      <c r="E8" s="121" t="s">
        <v>774</v>
      </c>
      <c r="F8" s="121" t="s">
        <v>775</v>
      </c>
      <c r="G8" s="121" t="s">
        <v>776</v>
      </c>
      <c r="H8" s="121" t="s">
        <v>777</v>
      </c>
      <c r="I8" s="121" t="s">
        <v>778</v>
      </c>
      <c r="J8" s="122"/>
      <c r="K8" s="122"/>
    </row>
    <row r="9" spans="1:11" x14ac:dyDescent="0.25">
      <c r="A9" s="5">
        <v>8</v>
      </c>
      <c r="B9" s="121"/>
      <c r="C9" s="121"/>
      <c r="D9" s="121"/>
      <c r="E9" s="121"/>
      <c r="F9" s="121"/>
      <c r="G9" s="121"/>
      <c r="H9" s="121"/>
      <c r="I9" s="122"/>
      <c r="J9" s="122"/>
      <c r="K9" s="122"/>
    </row>
    <row r="10" spans="1:11" x14ac:dyDescent="0.25">
      <c r="A10" s="5">
        <v>9</v>
      </c>
      <c r="B10" s="122"/>
      <c r="C10" s="122"/>
      <c r="D10" s="122"/>
      <c r="E10" s="122"/>
      <c r="F10" s="122"/>
      <c r="G10" s="122"/>
      <c r="H10" s="122"/>
      <c r="I10" s="122"/>
      <c r="J10" s="122"/>
      <c r="K10" s="122"/>
    </row>
    <row r="11" spans="1:11" x14ac:dyDescent="0.25">
      <c r="A11" s="5">
        <v>10</v>
      </c>
      <c r="B11" s="122"/>
      <c r="C11" s="122"/>
      <c r="D11" s="122"/>
      <c r="E11" s="122"/>
      <c r="F11" s="122"/>
      <c r="G11" s="122"/>
      <c r="H11" s="122"/>
      <c r="I11" s="122"/>
      <c r="J11" s="122"/>
      <c r="K11" s="122"/>
    </row>
    <row r="12" spans="1:11" x14ac:dyDescent="0.25">
      <c r="A12" s="5">
        <v>11</v>
      </c>
      <c r="B12" s="122"/>
      <c r="C12" s="122"/>
      <c r="D12" s="122"/>
      <c r="E12" s="122"/>
      <c r="F12" s="122"/>
      <c r="G12" s="122"/>
      <c r="H12" s="122"/>
      <c r="I12" s="122"/>
      <c r="J12" s="122"/>
      <c r="K12" s="122"/>
    </row>
    <row r="13" spans="1:11" x14ac:dyDescent="0.25">
      <c r="A13" s="5">
        <v>12</v>
      </c>
      <c r="B13" s="122"/>
      <c r="C13" s="122"/>
      <c r="D13" s="122"/>
      <c r="E13" s="122"/>
      <c r="F13" s="122"/>
      <c r="G13" s="122"/>
      <c r="H13" s="122"/>
      <c r="I13" s="122"/>
      <c r="J13" s="122"/>
      <c r="K13" s="122"/>
    </row>
    <row r="14" spans="1:11" x14ac:dyDescent="0.25">
      <c r="A14" s="5">
        <v>13</v>
      </c>
      <c r="B14" s="122"/>
      <c r="C14" s="122"/>
      <c r="D14" s="122"/>
      <c r="E14" s="122"/>
      <c r="F14" s="122"/>
      <c r="G14" s="122"/>
      <c r="H14" s="122"/>
      <c r="I14" s="122"/>
      <c r="J14" s="122"/>
      <c r="K14" s="122"/>
    </row>
    <row r="15" spans="1:11" x14ac:dyDescent="0.25">
      <c r="A15" s="5">
        <v>14</v>
      </c>
      <c r="B15" s="122"/>
      <c r="C15" s="122"/>
      <c r="D15" s="122"/>
      <c r="E15" s="122"/>
      <c r="F15" s="122"/>
      <c r="G15" s="122"/>
      <c r="H15" s="122"/>
      <c r="I15" s="122"/>
      <c r="J15" s="122"/>
      <c r="K15" s="122"/>
    </row>
    <row r="16" spans="1:11" x14ac:dyDescent="0.25">
      <c r="A16" s="5">
        <v>15</v>
      </c>
      <c r="B16" s="122"/>
      <c r="C16" s="122"/>
      <c r="D16" s="122"/>
      <c r="E16" s="122"/>
      <c r="F16" s="122"/>
      <c r="G16" s="122"/>
      <c r="H16" s="122"/>
      <c r="I16" s="122"/>
      <c r="J16" s="122"/>
      <c r="K16" s="122"/>
    </row>
    <row r="17" spans="1:11" x14ac:dyDescent="0.25">
      <c r="A17" s="5">
        <v>16</v>
      </c>
      <c r="B17" s="122"/>
      <c r="C17" s="122"/>
      <c r="D17" s="122"/>
      <c r="E17" s="122"/>
      <c r="F17" s="122"/>
      <c r="G17" s="122"/>
      <c r="H17" s="122"/>
      <c r="I17" s="122"/>
      <c r="J17" s="122"/>
      <c r="K17" s="122"/>
    </row>
    <row r="18" spans="1:11" x14ac:dyDescent="0.25">
      <c r="A18" s="5">
        <v>17</v>
      </c>
      <c r="B18" s="122"/>
      <c r="C18" s="122"/>
      <c r="D18" s="122"/>
      <c r="E18" s="122"/>
      <c r="F18" s="122"/>
      <c r="G18" s="122"/>
      <c r="H18" s="122"/>
      <c r="I18" s="122"/>
      <c r="J18" s="122"/>
      <c r="K18" s="122"/>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K20"/>
  <sheetViews>
    <sheetView topLeftCell="D1" zoomScale="115" zoomScaleNormal="115" workbookViewId="0">
      <selection activeCell="D4" sqref="D4"/>
    </sheetView>
  </sheetViews>
  <sheetFormatPr defaultColWidth="9.140625" defaultRowHeight="15" x14ac:dyDescent="0.25"/>
  <cols>
    <col min="1" max="1" width="13.85546875" style="2" bestFit="1" customWidth="1"/>
    <col min="2" max="11" width="59.28515625" style="2" customWidth="1"/>
    <col min="12" max="16384" width="9.140625" style="2"/>
  </cols>
  <sheetData>
    <row r="1" spans="1:11" x14ac:dyDescent="0.25">
      <c r="A1" s="17"/>
      <c r="B1" s="37" t="s">
        <v>1</v>
      </c>
      <c r="C1" s="37"/>
      <c r="D1" s="37"/>
      <c r="E1" s="37"/>
      <c r="F1" s="37"/>
      <c r="G1" s="37"/>
      <c r="H1" s="37"/>
      <c r="I1" s="37"/>
      <c r="J1" s="37"/>
      <c r="K1" s="37"/>
    </row>
    <row r="2" spans="1:11" ht="30" x14ac:dyDescent="0.25">
      <c r="A2" s="37" t="s">
        <v>2</v>
      </c>
      <c r="B2" s="27" t="s">
        <v>34</v>
      </c>
      <c r="C2" s="27" t="s">
        <v>35</v>
      </c>
      <c r="D2" s="27" t="s">
        <v>36</v>
      </c>
      <c r="E2" s="27" t="s">
        <v>37</v>
      </c>
      <c r="F2" s="27" t="s">
        <v>38</v>
      </c>
      <c r="G2" s="27" t="s">
        <v>34</v>
      </c>
      <c r="H2" s="27" t="s">
        <v>35</v>
      </c>
      <c r="I2" s="27" t="s">
        <v>36</v>
      </c>
      <c r="J2" s="27" t="s">
        <v>37</v>
      </c>
      <c r="K2" s="27" t="s">
        <v>38</v>
      </c>
    </row>
    <row r="3" spans="1:11" ht="156" customHeight="1" x14ac:dyDescent="0.25">
      <c r="A3" s="8" t="s">
        <v>39</v>
      </c>
      <c r="B3" s="38" t="str">
        <f>CONCATENATE(output!B160,output!B138,output!B116,output!B94,output!B71,output!B49,output!B27,output!B5,output!N160,output!N138,output!N116,output!N94,output!N71,output!N49,output!N27,output!N5)</f>
        <v xml:space="preserve">Ekonomi  ( PAZR )
İşletme  - tek  B( Banka)  M.Hakan Sağlam
İşletme  - tek  B( Banka)  M.Hakan Sağlam
Ekonomi  ( PAZR )
İKTİSAT ( İŞL )
İKTİSAT ( İŞL )
İş ve Sosyal Güvenlik Hukuku  ( MUH)
</v>
      </c>
      <c r="C3" s="38" t="str">
        <f>CONCATENATE(output!C160,output!C138,output!C116,output!C94,output!C71,output!C49,output!C27,output!C5,output!O160,output!O138,output!O116,output!O94,output!O71,output!O49,output!O27,output!O5)</f>
        <v xml:space="preserve">İŞ ETİĞİ ( İŞL )
Meslek Etiği  ( MUH)
Sigortacılığa Giriş  -tek( Banka)  Metin Dermiray 1SINF
</v>
      </c>
      <c r="D3" s="38" t="str">
        <f>CONCATENATE(output!D160,output!D138,output!D116,output!D94,output!D71,output!D49,output!D27,output!D5,output!P160,output!P138,output!P116,output!P94,output!P71,output!P49,output!P27,output!P5)</f>
        <v xml:space="preserve">PAZARLAMA İLKELERİ ( İŞL )
HAYAT SİGORTALARI ( Banka)
Ticari Matematik /2.öğ.dah ( MUH)
PAZARLAMA İLKELERİ ( İŞL )
Ticari Matematik /2.öğ.dah ( MUH)
</v>
      </c>
      <c r="E3" s="38" t="str">
        <f>CONCATENATE(output!E160,output!E138,output!E116,output!E94,output!E71,output!E49,output!E27,output!E5,output!Q160,output!Q138,output!Q116,output!Q94,output!Q71,output!Q49,output!Q27,output!Q5)</f>
        <v xml:space="preserve">HİZMET PAZARLAMASI  ( Banka)
ŞİRKETLER MUHASEBESİ( İŞL )
HİZMET PAZARLAMASI  ( Banka)
GİRİŞİMCİLİK ( PAZR )
</v>
      </c>
      <c r="F3" s="38" t="str">
        <f>CONCATENATE(output!F160,output!F138,output!F116,output!F94,output!F71,output!F49,output!F27,output!F5,output!R160,output!R138,output!R116,output!R94,output!R71,output!R49,output!R27,output!R5)</f>
        <v xml:space="preserve">Bilgisayar II (EMLAK)
</v>
      </c>
      <c r="G3" s="38" t="str">
        <f>CONCATENATE(output!G160,output!G138,output!G116,output!G94,output!G71,output!G49,output!G27,output!G5,output!S160,output!S138,output!S116,output!S94,output!S71,output!S49,output!S27,output!S5)</f>
        <v xml:space="preserve"> İşletme - çift A  ( Banka)  M.Hakan Sağlam
</v>
      </c>
      <c r="H3" s="38" t="str">
        <f>CONCATENATE(output!H160,output!H138,output!H116,output!H94,output!H71,output!H49,output!H27,output!H5,output!T160,output!T138,output!T116,output!T94,output!T71,output!T49,output!T27,output!T5)</f>
        <v xml:space="preserve">Ticaret Hukuku ( 2.öğr.dahl)  ( DIŞ )
GİRİŞİMCİLİK VE KÜÇÜK İŞLETME YÖNETİMİ( İŞL )
</v>
      </c>
      <c r="I3" s="38" t="str">
        <f>CONCATENATE(output!I160,output!I138,output!I116,output!I94,output!I71,output!I49,output!I27,output!I5,output!U160,output!U138,output!U116,output!U94,output!U71,output!U49,output!U27,output!U5)</f>
        <v xml:space="preserve">Mikro İktisat (EMLAK)
MUHASEBE I  ( İŞL )
Mikro İktisat (EMLAK)
MUHASEBE I  ( İŞL )
</v>
      </c>
      <c r="J3" s="38" t="str">
        <f>CONCATENATE(output!J160,output!J138,output!J116,output!J94,output!J71,output!J49,output!J27,output!J5,output!V160,output!V138,output!V116,output!V94,output!V71,output!V49,output!V27,output!V5)</f>
        <v/>
      </c>
      <c r="K3" s="38" t="str">
        <f>CONCATENATE(output!K160,output!K138,output!K116,output!K94,output!K71,output!K49,output!K27,output!K5,output!W160,output!W138,output!W116,output!W94,output!W71,output!W49,output!W27,output!W5)</f>
        <v/>
      </c>
    </row>
    <row r="4" spans="1:11" ht="156" customHeight="1" x14ac:dyDescent="0.25">
      <c r="A4" s="8" t="s">
        <v>40</v>
      </c>
      <c r="B4" s="38" t="str">
        <f>CONCATENATE(output!B161,output!B139,output!B117,output!B95,output!B72,output!B50,output!B28,output!B6,output!N161,output!N139,output!N117,output!N95,output!N72,output!N50,output!N28,output!N6)</f>
        <v xml:space="preserve">Temel İlk Yardım   ( PAZR )  Ç.koruma muadi.
</v>
      </c>
      <c r="C4" s="38" t="str">
        <f>CONCATENATE(output!C161,output!C139,output!C117,output!C95,output!C72,output!C50,output!C28,output!C6,output!O161,output!O139,output!O117,output!O95,output!O72,output!O50,output!O28,output!O6)</f>
        <v xml:space="preserve">Tüketici Davranışları (EMLAK)
SATIŞ GÜCÜ EĞİTİMİ  ( PAZR )
Şirketler Muhasebesi   ( MUH)
Şirketler Muhasebesi   ( MUH)
</v>
      </c>
      <c r="D4" s="38" t="str">
        <f>CONCATENATE(output!D161,output!D139,output!D117,output!D95,output!D72,output!D50,output!D28,output!D6,output!P161,output!P139,output!P117,output!P95,output!P72,output!P50,output!P28,output!P6)</f>
        <v xml:space="preserve">KURUMLAR SOSYOLOJİSİ  ( İŞL )
</v>
      </c>
      <c r="E4" s="38" t="str">
        <f>CONCATENATE(output!E161,output!E139,output!E117,output!E95,output!E72,output!E50,output!E28,output!E6,output!Q161,output!Q139,output!Q117,output!Q95,output!Q72,output!Q50,output!Q28,output!Q6)</f>
        <v xml:space="preserve">Matematik  ( PAZR ) 1.SINIF
Matematik  ( PAZR ) 1.SINIF
Konuk Giriş-Çıkış İşlemleri    ( Turizm) tevfik 1.SINIF
</v>
      </c>
      <c r="F4" s="38" t="str">
        <f>CONCATENATE(output!F161,output!F139,output!F117,output!F95,output!F72,output!F50,output!F28,output!F6,output!R161,output!R139,output!R117,output!R95,output!R72,output!R50,output!R28,output!R6)</f>
        <v xml:space="preserve">İNSAN İLİŞKİLERİ VE İLETİŞİM YÖNTEMLERİ ( Banka)
DAVRANIŞ BİLİMLERİ ( İŞL )
İNSAN İLİŞKİLERİ VE İLETİŞİM YÖNTEMLERİ ( Banka)
Davranış Bilimleri*   ( MUH)
</v>
      </c>
      <c r="G4" s="38" t="str">
        <f>CONCATENATE(output!G161,output!G139,output!G117,output!G95,output!G72,output!G50,output!G28,output!G6,output!S161,output!S139,output!S117,output!S95,output!S72,output!S50,output!S28,output!S6)</f>
        <v xml:space="preserve">Kat Hizmetleri   ( Turizm)
Kat Hizmetleri   ( Turizm)
Kamu Maliyesi /2.öğr.dahl ( MUH)
</v>
      </c>
      <c r="H4" s="38" t="str">
        <f>CONCATENATE(output!H161,output!H139,output!H117,output!H95,output!H72,output!H50,output!H28,output!H6,output!T161,output!T139,output!T117,output!T95,output!T72,output!T50,output!T28,output!T6)</f>
        <v xml:space="preserve">Lojistik ( 2.öğr.dahil)   ( DIŞ )
Önbüroda Raporlama İşlemleri   ( Turizm) tevfik
İmar ve Belediye Mevzuatı (EMLAK)
</v>
      </c>
      <c r="I4" s="38" t="str">
        <f>CONCATENATE(output!I161,output!I139,output!I117,output!I95,output!I72,output!I50,output!I28,output!I6,output!U161,output!U139,output!U117,output!U95,output!U72,output!U50,output!U28,output!U6)</f>
        <v xml:space="preserve">Uluslararası İktisat I  ( 2.öğr.dahil) ( DIŞ )
MÜŞTERİ İLİŞKİLERİ YÖNETİMİ  ( İŞL )
MÜŞTERİ İLİŞKİLERİ YÖNETİMİ  ( PAZR )
</v>
      </c>
      <c r="J4" s="38" t="str">
        <f>CONCATENATE(output!J161,output!J139,output!J117,output!J95,output!J72,output!J50,output!J28,output!J6,output!V161,output!V139,output!V117,output!V95,output!V72,output!V50,output!V28,output!V6)</f>
        <v/>
      </c>
      <c r="K4" s="38" t="str">
        <f>CONCATENATE(output!K161,output!K139,output!K117,output!K95,output!K72,output!K50,output!K28,output!K6,output!W161,output!W139,output!W117,output!W95,output!W72,output!W50,output!W28,output!W6)</f>
        <v/>
      </c>
    </row>
    <row r="5" spans="1:11" ht="156" customHeight="1" x14ac:dyDescent="0.25">
      <c r="A5" s="8" t="s">
        <v>41</v>
      </c>
      <c r="B5" s="38" t="str">
        <f>CONCATENATE(output!B162,output!B140,output!B118,output!B96,output!B73,output!B51,output!B29,output!B7,output!N162,output!N140,output!N118,output!N96,output!N73,output!N51,output!N29,output!N7)</f>
        <v xml:space="preserve">SİGORTA PAZARLAMASI  ( Banka)
</v>
      </c>
      <c r="C5" s="38" t="str">
        <f>CONCATENATE(output!C162,output!C140,output!C118,output!C96,output!C73,output!C51,output!C29,output!C7,output!O162,output!O140,output!O118,output!O96,output!O73,output!O51,output!O29,output!O7)</f>
        <v xml:space="preserve">Araştırma Yöntem ve Teknikleri   ( Turizm)
Temel Hukuk   ( DIŞ )
Temel Hukuk   ( DIŞ )
Araştırma Yöntem ve Teknikleri/2.öğr.dh( MUH)
Seminer (EMLAK)
</v>
      </c>
      <c r="D5" s="38" t="str">
        <f>CONCATENATE(output!D162,output!D140,output!D118,output!D96,output!D73,output!D51,output!D29,output!D7,output!P162,output!P140,output!P118,output!P96,output!P73,output!P51,output!P29,output!P7)</f>
        <v xml:space="preserve">Mikro İktisat  - tek ( Banka) Selma Öner
KAMU MALİYESİ  ( İŞL )
</v>
      </c>
      <c r="E5" s="38" t="str">
        <f>CONCATENATE(output!E162,output!E140,output!E118,output!E96,output!E73,output!E51,output!E29,output!E7,output!Q162,output!Q140,output!Q118,output!Q96,output!Q73,output!Q51,output!Q29,output!Q7)</f>
        <v xml:space="preserve">BİLGİSAYAR I -  B ( İŞL )
Dış Ticaret İşlemleri Muhasebesi  ( MUH)
Menü Planlama    ( Turizm)
Dış Ticaret İşlemleri Muhasebesi  ( MUH)
</v>
      </c>
      <c r="F5" s="38" t="str">
        <f>CONCATENATE(output!F162,output!F140,output!F118,output!F96,output!F73,output!F51,output!F29,output!F7,output!R162,output!R140,output!R118,output!R96,output!R73,output!R51,output!R29,output!R7)</f>
        <v xml:space="preserve">Sermaye Piyasalarında Gayrimenkul Yatırımları  (EMLAK)
SATIŞ SAHA PLANLAMASI  ( PAZR )
MESLEKİ YABANCI DİL I  B  ( Banka)
</v>
      </c>
      <c r="G5" s="38" t="str">
        <f>CONCATENATE(output!G162,output!G140,output!G118,output!G96,output!G73,output!G51,output!G29,output!G7,output!S162,output!S140,output!S118,output!S96,output!S73,output!S51,output!S29,output!S7)</f>
        <v xml:space="preserve">Mikro Ekonomi  ( DIŞ )
Gayrimenkulde Temel Kavramlar (EMLAK)
Mikro Ekonomi  ( DIŞ )
KREDİ TALEPLERİNİN DEĞERLENDİRMESİ  ( Banka)
Gayrimenkulde Temel Kavramlar (EMLAK)
</v>
      </c>
      <c r="H5" s="38" t="str">
        <f>CONCATENATE(output!H162,output!H140,output!H118,output!H96,output!H73,output!H51,output!H29,output!H7,output!T162,output!T140,output!T118,output!T96,output!T73,output!T51,output!T29,output!T7)</f>
        <v xml:space="preserve">ÇEVRE KORUMA ( İŞL )
Önbüroda Vardiya İşlemleri    ( Turizm) tevfik
</v>
      </c>
      <c r="I5" s="38" t="str">
        <f>CONCATENATE(output!I162,output!I140,output!I118,output!I96,output!I73,output!I51,output!I29,output!I7,output!U162,output!U140,output!U118,output!U96,output!U73,output!U51,output!U29,output!U7)</f>
        <v xml:space="preserve">Çevre Koruma   ( PAZR ) temel ilk yardım muad.
DIŞ TİCARET İŞLEMLERİ  ( Banka)
Bilgisayarda Sunum Teknikleri*  ( DIŞ ) 1.SINIF 
MALİ TABLOLAR ANALİZİ( İŞL ) 2 SINIF 
</v>
      </c>
      <c r="J5" s="38" t="str">
        <f>CONCATENATE(output!J162,output!J140,output!J118,output!J96,output!J73,output!J51,output!J29,output!J7,output!V162,output!V140,output!V118,output!V96,output!V73,output!V51,output!V29,output!V7)</f>
        <v/>
      </c>
      <c r="K5" s="38" t="str">
        <f>CONCATENATE(output!K162,output!K140,output!K118,output!K96,output!K73,output!K51,output!K29,output!K7,output!W162,output!W140,output!W118,output!W96,output!W73,output!W51,output!W29,output!W7)</f>
        <v/>
      </c>
    </row>
    <row r="6" spans="1:11" ht="156" customHeight="1" x14ac:dyDescent="0.25">
      <c r="A6" s="8" t="s">
        <v>42</v>
      </c>
      <c r="B6" s="38" t="str">
        <f>CONCATENATE(output!B163,output!B141,output!B119,output!B97,output!B74,output!B52,output!B30,output!B8,output!N163,output!N141,output!N119,output!N97,output!N74,output!N52,output!N30,output!N8)</f>
        <v xml:space="preserve">Bilgisayar I  -ÇİFT   ( Banka)   Minire Kırbaşlı
Tur Operatörlüğü ve Seyahat Acentacılığı   ( Turizm)
Bilgisayar I  -ÇİFT   ( Banka)   Minire Kırbaşlı
</v>
      </c>
      <c r="C6" s="38" t="str">
        <f>CONCATENATE(output!C163,output!C141,output!C119,output!C97,output!C74,output!C52,output!C30,output!C8,output!O163,output!O141,output!O119,output!O97,output!O74,output!O52,output!O30,output!O8)</f>
        <v xml:space="preserve">Genel Turizm    ( Turizm)
Ofis Programları I B  ( MUH) Ali  Kuzu
Genel Turizm    ( Turizm)
Mesleki Yabancı Dil ( 2.öğr.dahil)  ( DIŞ )
</v>
      </c>
      <c r="D6" s="38" t="str">
        <f>CONCATENATE(output!D163,output!D141,output!D119,output!D97,output!D74,output!D52,output!D30,output!D8,output!P163,output!P141,output!P119,output!P97,output!P74,output!P52,output!P30,output!P8)</f>
        <v xml:space="preserve">KAZA VE SORUMLULUK SİGORTALARI ( Banka)
Pazarlama İlkeleri   ( PAZR )
Pazarlama İlkeleri   ( PAZR )
Tapu Mevzuatı (EMLAK)
Genel Alan Kontrolü   ( Turizm) tevfik
</v>
      </c>
      <c r="E6" s="38" t="str">
        <f>CONCATENATE(output!E163,output!E141,output!E119,output!E97,output!E74,output!E52,output!E30,output!E8,output!Q163,output!Q141,output!Q119,output!Q97,output!Q74,output!Q52,output!Q30,output!Q8)</f>
        <v xml:space="preserve">Paket Programlar I A ( muhasebe ) Ethem Kahveci
İşletme (EMLAK)
Paket Programlar I A ( muhasebe ) Ethem Kahveci
İşletme (EMLAK)
</v>
      </c>
      <c r="F6" s="38" t="str">
        <f>CONCATENATE(output!F163,output!F141,output!F119,output!F97,output!F74,output!F52,output!F30,output!F8,output!R163,output!R141,output!R119,output!R97,output!R74,output!R52,output!R30,output!R8)</f>
        <v xml:space="preserve">MESLEKİ YABANCI DİL ( PAZR )
</v>
      </c>
      <c r="G6" s="38" t="str">
        <f>CONCATENATE(output!G163,output!G141,output!G119,output!G97,output!G74,output!G52,output!G30,output!G8,output!S163,output!S141,output!S119,output!S97,output!S74,output!S52,output!S30,output!S8)</f>
        <v xml:space="preserve"> Genel Muhasebe I/2.öğrdah ( MUH) Tuğçe Kocamış
 Genel Muhasebe I/2.öğrdah ( MUH) Tuğçe Kocamış
</v>
      </c>
      <c r="H6" s="38" t="str">
        <f>CONCATENATE(output!H163,output!H141,output!H119,output!H97,output!H74,output!H52,output!H30,output!H8,output!T163,output!T141,output!T119,output!T97,output!T74,output!T52,output!T30,output!T8)</f>
        <v xml:space="preserve">BİLGİSAYARDA OFİS PROGRAMLARI ( PAZR )
Genel Muhasebe (EMLAK)
Temel İlk Yardım  ( DIŞ )
Bilgisayar I B GRUBU  Minire Kırbaşlı
BİLGİSAYARDA OFİS PROGRAMLARI ( PAZR )
Bilgisayar I B GRUBU  Minire Kırbaşlı
</v>
      </c>
      <c r="I6" s="38" t="str">
        <f>CONCATENATE(output!I163,output!I141,output!I119,output!I97,output!I74,output!I52,output!I30,output!I8,output!U163,output!U141,output!U119,output!U97,output!U74,output!U52,output!U30,output!U8)</f>
        <v xml:space="preserve">İŞARET DİLİ ( Banka)
Matematik  (EMLAK)
İŞARET DİLİ ( Banka)
Ziyafet Servisi Yönetimi   ( Turizm)
Matematik  (EMLAK)
</v>
      </c>
      <c r="J6" s="38" t="str">
        <f>CONCATENATE(output!J163,output!J141,output!J119,output!J97,output!J74,output!J52,output!J30,output!J8,output!V163,output!V141,output!V119,output!V97,output!V74,output!V52,output!V30,output!V8)</f>
        <v/>
      </c>
      <c r="K6" s="38" t="str">
        <f>CONCATENATE(output!K163,output!K141,output!K119,output!K97,output!K74,output!K52,output!K30,output!K8,output!W163,output!W141,output!W119,output!W97,output!W74,output!W52,output!W30,output!W8)</f>
        <v/>
      </c>
    </row>
    <row r="7" spans="1:11" ht="156" customHeight="1" x14ac:dyDescent="0.25">
      <c r="A7" s="8" t="s">
        <v>43</v>
      </c>
      <c r="B7" s="38" t="str">
        <f>CONCATENATE(output!B164,output!B142,output!B120,output!B98,output!B75,output!B53,output!B31,output!B9,output!N164,output!N142,output!N120,output!N98,output!N75,output!N53,output!N31,output!N9)</f>
        <v xml:space="preserve">Ofis Programları I A  ( MUH) Minire Kırbaşlı
TÜKETİCİ DAVRANIŞLARI ( İŞL )
TÜKETİCİ DAVRANIŞLARI  ( PAZR )
İletişim  ( DIŞ )
Ofis Programları I A  ( MUH) Minire Kırbaşlı
MESLEKİ YABANCI DİL I  A  ( Banka)
</v>
      </c>
      <c r="C7" s="38" t="str">
        <f>CONCATENATE(output!C164,output!C142,output!C120,output!C98,output!C75,output!C53,output!C31,output!C9,output!O164,output!O142,output!O120,output!O98,output!O75,output!O53,output!O31,output!O9)</f>
        <v xml:space="preserve">Çevre Koruma      ( Turizm) tevfik
</v>
      </c>
      <c r="D7" s="38" t="str">
        <f>CONCATENATE(output!D164,output!D142,output!D120,output!D98,output!D75,output!D53,output!D31,output!D9,output!P164,output!P142,output!P120,output!P98,output!P75,output!P53,output!P31,output!P9)</f>
        <v xml:space="preserve">Elektronik Ticaret    ( DIŞ )
Para ve Bankacılık  (EMLAK)
</v>
      </c>
      <c r="E7" s="38" t="str">
        <f>CONCATENATE(output!E164,output!E142,output!E120,output!E98,output!E75,output!E53,output!E31,output!E9,output!Q164,output!Q142,output!Q120,output!Q98,output!Q75,output!Q53,output!Q31,output!Q9)</f>
        <v xml:space="preserve">Mikro İktisat  - çift ( Banka) M.Hakan Sağlam
TOPLUMBİLİM ( İŞL )1SINIF 
</v>
      </c>
      <c r="F7" s="38" t="str">
        <f>CONCATENATE(output!F164,output!F142,output!F120,output!F98,output!F75,output!F53,output!F31,output!F9,output!R164,output!R142,output!R120,output!R98,output!R75,output!R53,output!R31,output!R9)</f>
        <v xml:space="preserve">İşletme Finansmanı* ( MUH) 1 SINIF 
NAKLİYAT SİGORTALARI 2.öğr.dahil ( Banka)
</v>
      </c>
      <c r="G7" s="38" t="str">
        <f>CONCATENATE(output!G164,output!G142,output!G120,output!G98,output!G75,output!G53,output!G31,output!G9,output!S164,output!S142,output!S120,output!S98,output!S75,output!S53,output!S31,output!S9)</f>
        <v xml:space="preserve">İŞLETME FİNANSMANI ( İŞL )
YANGIN VE MÜHENDİSLİK SİGORTALARI  ( Banka)
Bilgi iletişim Teknolojileri/2.öğr.dah Hatice Özkurt 
</v>
      </c>
      <c r="H7" s="38" t="str">
        <f>CONCATENATE(output!H164,output!H142,output!H120,output!H98,output!H75,output!H53,output!H31,output!H9,output!T164,output!T142,output!T120,output!T98,output!T75,output!T53,output!T31,output!T9)</f>
        <v/>
      </c>
      <c r="I7" s="38" t="str">
        <f>CONCATENATE(output!I164,output!I142,output!I120,output!I98,output!I75,output!I53,output!I31,output!I9,output!U164,output!U142,output!U120,output!U98,output!U75,output!U53,output!U31,output!U9)</f>
        <v xml:space="preserve">İŞ ve SOSYAL GÜVENLİK HUKUKU ( İŞL )
TİCARET HUKUKU   ( Banka)
İş ve Sosyal Güvenlik Hukuku   ( DIŞ )
Finansal Yönetim ( MUH)
TİCARET HUKUKU   ( Banka)
</v>
      </c>
      <c r="J7" s="38" t="str">
        <f>CONCATENATE(output!J164,output!J142,output!J120,output!J98,output!J75,output!J53,output!J31,output!J9,output!V164,output!V142,output!V120,output!V98,output!V75,output!V53,output!V31,output!V9)</f>
        <v/>
      </c>
      <c r="K7" s="38" t="str">
        <f>CONCATENATE(output!K164,output!K142,output!K120,output!K98,output!K75,output!K53,output!K31,output!K9,output!W164,output!W142,output!W120,output!W98,output!W75,output!W53,output!W31,output!W9)</f>
        <v/>
      </c>
    </row>
    <row r="8" spans="1:11" ht="156" customHeight="1" x14ac:dyDescent="0.25">
      <c r="A8" s="8" t="s">
        <v>44</v>
      </c>
      <c r="B8" s="38" t="str">
        <f>CONCATENATE(output!B165,output!B143,output!B121,output!B99,output!B76,output!B54,output!B32,output!B10,output!N165,output!N143,output!N121,output!N99,output!N76,output!N54,output!N32,output!N10)</f>
        <v xml:space="preserve">Önbüroda Oda İşlemleri    ( Turizm) tevfik
</v>
      </c>
      <c r="C8" s="38" t="str">
        <f>CONCATENATE(output!C165,output!C143,output!C121,output!C99,output!C76,output!C54,output!C32,output!C10,output!O165,output!O143,output!O121,output!O99,output!O76,output!O54,output!O32,output!O10)</f>
        <v xml:space="preserve">Bilgisayar I A GRUBU Tolga Akagün
YAPI MALZEM BİLGİSAYAR UYGULI I ( PAZR )
Bilgisayar I A GRUBU Tolga Akagün
BİLGİSAYAR I -  A ( İŞL )
YAPI MALZEM BİLGİSAYAR UYGULI I ( PAZR )
</v>
      </c>
      <c r="D8" s="38" t="str">
        <f>CONCATENATE(output!D165,output!D143,output!D121,output!D99,output!D76,output!D54,output!D32,output!D10,output!P165,output!P143,output!P121,output!P99,output!P76,output!P54,output!P32,output!P10)</f>
        <v xml:space="preserve">Temel Hukuk (EMLAK)
PAZARLAMA ARAŞTIRMASI  ( PAZR )
Temel Hukuk ( MUH)
Temel Hukuk ( MUH)
TEMEL HUKUK  ( İŞL )
Temel Hukuk  - tek  B ( Banka) Erkan Arslan
Uluslararası Pazarlama 2.öğr.dahil   ( DIŞ )
TEMEL HUKUK  ( İŞL )
Temel Hukuk  -çift    A ( Banka) Erkan Arslan
Temel Hukuk (EMLAK)
</v>
      </c>
      <c r="E8" s="38" t="str">
        <f>CONCATENATE(output!E165,output!E143,output!E121,output!E99,output!E76,output!E54,output!E32,output!E10,output!Q165,output!Q143,output!Q121,output!Q99,output!Q76,output!Q54,output!Q32,output!Q10)</f>
        <v xml:space="preserve">YABANCI DİL I ( İŞL )
Yabancı Dil I ( Banka)
İnsan Kaynakları Yönetimi*  ( MUH)
Yabancı Dil I (EMLAK)
Yabancı Dil I (EMLAK)
Yabancı Dil I  ( PAZR )
İşletme Yönetimi I    ( Turizm)
YABANCI DİL I ( İŞL )
Dış Ticarette Standardizasyon ( 2.öğr.dah ( DIŞ )
Yabancı Dil I  ( PAZR )
Yabancı Dil I ( Banka)
</v>
      </c>
      <c r="F8" s="38" t="str">
        <f>CONCATENATE(output!F165,output!F143,output!F121,output!F99,output!F76,output!F54,output!F32,output!F10,output!R165,output!R143,output!R121,output!R99,output!R76,output!R54,output!R32,output!R10)</f>
        <v xml:space="preserve">Bilgi ve İletişim Teknolojisi    ( Turizm) tolga 
Paket Programlar I B ( muhasebe ) Emine Ertürk
Türk Dili I   ( Banka)
TÜRK DİLİ I ( İŞL ) ( Yabancı öğ.dahil)
TÜRK DİLİ I ( İŞL ) ( Yabancı öğ.dahil)
Türk Dili I   ( Banka)
Türk Dili I  ( yabn öğr.dahil )( PAZR )
Paket Programlar I B ( muhasebe ) Emine Ertürk
Türk Dili I (EMLAK)
Dış Ticaret İşlemleri II ( 2.öğr.dah)  ( DIŞ )
Türk Dili I  ( yabn öğr.dahil )( PAZR )
Türk Dili I (EMLAK)
</v>
      </c>
      <c r="G8" s="38" t="str">
        <f>CONCATENATE(output!G165,output!G143,output!G121,output!G99,output!G76,output!G54,output!G32,output!G10,output!S165,output!S143,output!S121,output!S99,output!S76,output!S54,output!S32,output!S10)</f>
        <v xml:space="preserve">Atatürk İlkeleri ve İnkilap Tarihi I ( yabn öğr.dahil)
Atatürk İlkeleri ve İnkılap Tarihi I  ( Banka)
ATATÜRK İLKELERİ VE İNKILAP TARİHİ I  ( İŞL )
Atatürk İlkeleri ve Inkılap Tarihi I (EMLAK)
Atatürk İlkeleri ve İnkilap Tarihi I ( yabn öğr.dahil)
Mikro Ekonomi /2.öğr.dhl (( MUH) Selma Öner
Genel Muhasebe ( ikinci öğr.dahil)  ( DIŞ )
Önbüro Hizmetleri   ( Turizm)
Atatürk İlkeleri ve Inkılap Tarihi I (EMLAK)
Mikro Ekonomi /2.öğr.dhl (( MUH) Selma Öner
Genel Muhasebe ( ikinci öğr.dahil)  ( DIŞ )
ATATÜRK İLKELERİ VE İNKILAP TARİHİ I  ( İŞL )
Atatürk İlkeleri ve İnkılap Tarihi I  ( Banka)
Önbüro Hizmetleri   ( Turizm)
Atatürk İlkeleri ve İnkılap Tarihi I  ( Banka)
</v>
      </c>
      <c r="H8" s="38" t="str">
        <f>CONCATENATE(output!H165,output!H143,output!H121,output!H99,output!H76,output!H54,output!H32,output!H10,output!T165,output!T143,output!T121,output!T99,output!T76,output!T54,output!T32,output!T10)</f>
        <v xml:space="preserve">BANKA MUHASEBESİ  ( Banka)
Emlak Pazarlama Yönetimi (EMLAK)
</v>
      </c>
      <c r="I8" s="38" t="str">
        <f>CONCATENATE(output!I165,output!I143,output!I121,output!I99,output!I76,output!I54,output!I32,output!I10,output!U165,output!U143,output!U121,output!U99,output!U76,output!U54,output!U32,output!U10)</f>
        <v xml:space="preserve">Bilgisayar I (EMLAK)
Bilgisayar I (EMLAK)
 İŞLETME  ( İŞL )
Turizm Mevzuatı  ( Turizm)
 İŞLETME  ( İŞL )
Matematik  ( Banka)   Müfit Giresunlu
Bilgisayar I (EMLAK)
Matematik  ( Banka)   Müfit Giresunlu
Matematik  ( Banka)   Müfit Giresunlu
Çevre Koruma  ( DIŞ ) 2.SINIF
</v>
      </c>
      <c r="J8" s="38" t="str">
        <f>CONCATENATE(output!J165,output!J143,output!J121,output!J99,output!J76,output!J54,output!J32,output!J10,output!V165,output!V143,output!V121,output!V99,output!V76,output!V54,output!V32,output!V10)</f>
        <v/>
      </c>
      <c r="K8" s="38" t="str">
        <f>CONCATENATE(output!K165,output!K143,output!K121,output!K99,output!K76,output!K54,output!K32,output!K10,output!W165,output!W143,output!W121,output!W99,output!W76,output!W54,output!W32,output!W10)</f>
        <v/>
      </c>
    </row>
    <row r="9" spans="1:11" ht="156" customHeight="1" x14ac:dyDescent="0.25">
      <c r="A9" s="8" t="s">
        <v>46</v>
      </c>
      <c r="B9" s="38" t="str">
        <f>CONCATENATE(output!B166,output!B144,output!B122,output!B100,output!B77,output!B55,output!B33,output!B11,output!N166,output!N144,output!N122,output!N100,output!N77,output!N55,output!N33,output!N11)</f>
        <v xml:space="preserve">Bilgisayar I  -TEK ( Banka)   Tolga Akagün
Girişimcilik ve Franchising 
Araştırma Yöntem ve Teknikleri 2.öğrdah ( DIŞ )
Bilgisayar I  -TEK ( Banka)   Tolga Akagün
</v>
      </c>
      <c r="C9" s="38" t="str">
        <f>CONCATENATE(output!C166,output!C144,output!C122,output!C100,output!C77,output!C55,output!C33,output!C11,output!O166,output!O144,output!O122,output!O100,output!O77,output!O55,output!O33,output!O11)</f>
        <v xml:space="preserve">Bilgi ve İletişim Teknolojisi*  ( DIŞ )
YAPI MALZELEMELERİ PAZARLAMASI ( PAZR )
İletişim  ( MUH)
Muhasebe I  ( Banka)  Adem Elikara
Mesleki Yabancı Dil-I    ( Turizm)-2.SINIF
Muhasebe I  ( Banka)  Adem Elikara
</v>
      </c>
      <c r="D9" s="38" t="str">
        <f>CONCATENATE(output!D166,output!D144,output!D122,output!D100,output!D77,output!D55,output!D33,output!D11,output!P166,output!P144,output!P122,output!P100,output!P77,output!P55,output!P33,output!P11)</f>
        <v xml:space="preserve">Maliyet Muhasebesi /2.ÖĞR DAH ( MUH)
İSTATİSTİK ( Banka)
Maliyet Muhasebesi /2.ÖĞR DAH ( MUH)
İSTATİSTİK ( Banka)
</v>
      </c>
      <c r="E9" s="38" t="str">
        <f>CONCATENATE(output!E166,output!E144,output!E122,output!E100,output!E77,output!E55,output!E33,output!E11,output!Q166,output!Q144,output!Q122,output!Q100,output!Q77,output!Q55,output!Q33,output!Q11)</f>
        <v xml:space="preserve">Yabancı Dil I    ( Turizm)
Yabancı Dil I   ( DIŞ )
Sigortacılığa Giriş  -çift2.öğr.dah  ( Banka)   Erkan Arslan
Yabancı Dil I    ( Turizm)
Yabancı Dil I   ( DIŞ )
Yabancı Dil I ( MUH)
Sigortaya Giriş (EMLAK)
SİGORTA PAZARLAMASI ( PAZR )
Yabancı Dil I ( MUH)
</v>
      </c>
      <c r="F9" s="38" t="str">
        <f>CONCATENATE(output!F166,output!F144,output!F122,output!F100,output!F77,output!F55,output!F33,output!F11,output!R166,output!R144,output!R122,output!R100,output!R77,output!R55,output!R33,output!R11)</f>
        <v xml:space="preserve">Türk Dili I   ( yabn öğr.dahil)  ( DIŞ )
Türk Dili I / yabn öğr.dahl) ( MUH)
İnsan Kaynakları Yönetimi (EMLAK)
Türk Dili I / yabn öğr.dahl) ( MUH)
Türk Dili I / yabn öğr.dahl)
İNSAN KAYNAKLARI YÖNETİMİ ( İŞL )
Türk Dili I   ( yabn öğr.dahil)  ( DIŞ )
</v>
      </c>
      <c r="G9" s="38" t="str">
        <f>CONCATENATE(output!G166,output!G144,output!G122,output!G100,output!G77,output!G55,output!G33,output!G11,output!S166,output!S144,output!S122,output!S100,output!S77,output!S55,output!S33,output!S11)</f>
        <v xml:space="preserve">Genel İşletme ( PAZR )
Atatürk İlkeleri ve İnkılap Tarihi I  ( MUH)
TURİZM İŞLETMELERİNDE MALİYET ANALİZLERİ tevfik
Atatürk İlkİnkılap Tarihi I  / yab öğr.dahl ( Turizm)
Pazarlama İlkeleri (EMLAK)
Atatürk İnkılap Tarihi I  yab.öğr dahil  ( DIŞ )
Genel İşletme ( PAZR )
VERGİ HUKUKU ( İŞL )
Atatürk İlkeleri ve İnkılap Tarihi I  ( MUH)
Atatürk İnkılap Tarihi I  yab.öğr dahil  ( DIŞ )
</v>
      </c>
      <c r="H9" s="38" t="str">
        <f>CONCATENATE(output!H166,output!H144,output!H122,output!H100,output!H77,output!H55,output!H33,output!H11,output!T166,output!T144,output!T122,output!T100,output!T77,output!T55,output!T33,output!T11)</f>
        <v xml:space="preserve">Bankacılığa Giriş  ( Banka)
Vergi Hukuku  ( MUH)
TİCARİ MATEMATİK  ( İŞL )
Bankacılığa Giriş  ( Banka)
Vergi Hukuku  ( MUH)
TİCARİ MATEMATİK  ( İŞL )
</v>
      </c>
      <c r="I9" s="38" t="str">
        <f>CONCATENATE(output!I166,output!I144,output!I122,output!I100,output!I77,output!I55,output!I33,output!I11,output!U166,output!U144,output!U122,output!U100,output!U77,output!U55,output!U33,output!U11)</f>
        <v xml:space="preserve">İşletme ( İkinci öğr.dahil)  ( DIŞ )
Yiyecek İçecek Servisi    ( Turizm)
İletişim  ( PAZR )
İletişim  ( PAZR )
İşletme ( İkinci öğr.dahil)  ( DIŞ )
Yiyecek İçecek Servisi    ( Turizm)
</v>
      </c>
      <c r="J9" s="38" t="str">
        <f>CONCATENATE(output!J166,output!J144,output!J122,output!J100,output!J77,output!J55,output!J33,output!J11,output!V166,output!V144,output!V122,output!V100,output!V77,output!V55,output!V33,output!V11)</f>
        <v/>
      </c>
      <c r="K9" s="38" t="str">
        <f>CONCATENATE(output!K166,output!K144,output!K122,output!K100,output!K77,output!K55,output!K33,output!K11,output!W166,output!W144,output!W122,output!W100,output!W77,output!W55,output!W33,output!W11)</f>
        <v/>
      </c>
    </row>
    <row r="10" spans="1:11" ht="156" customHeight="1" x14ac:dyDescent="0.25">
      <c r="A10" s="8" t="s">
        <v>45</v>
      </c>
      <c r="B10" s="38" t="str">
        <f>CONCATENATE(output!B167,output!B145,output!B123,output!B101,output!B78,output!B56,output!B34,output!B12,output!N167,output!N145,output!N123,output!N101,output!N78,output!N56,output!N34,output!N12)</f>
        <v/>
      </c>
      <c r="C10" s="38" t="str">
        <f>CONCATENATE(output!C167,output!C145,output!C123,output!C101,output!C78,output!C56,output!C34,output!C12,output!O167,output!O145,output!O123,output!O101,output!O78,output!O56,output!O34,output!O12)</f>
        <v/>
      </c>
      <c r="D10" s="38" t="str">
        <f>CONCATENATE(output!D167,output!D145,output!D123,output!D101,output!D78,output!D56,output!D34,output!D12,output!P167,output!P145,output!P123,output!P101,output!P78,output!P56,output!P34,output!P12)</f>
        <v/>
      </c>
      <c r="E10" s="38" t="str">
        <f>CONCATENATE(output!E167,output!E145,output!E123,output!E101,output!E78,output!E56,output!E34,output!E12,output!Q167,output!Q145,output!Q123,output!Q101,output!Q78,output!Q56,output!Q34,output!Q12)</f>
        <v/>
      </c>
      <c r="F10" s="38" t="str">
        <f>CONCATENATE(output!F167,output!F145,output!F123,output!F101,output!F78,output!F56,output!F34,output!F12,output!R167,output!R145,output!R123,output!R101,output!R78,output!R56,output!R34,output!R12)</f>
        <v/>
      </c>
      <c r="G10" s="38" t="str">
        <f>CONCATENATE(output!G167,output!G145,output!G123,output!G101,output!G78,output!G56,output!G34,output!G12,output!S167,output!S145,output!S123,output!S101,output!S78,output!S56,output!S34,output!S12)</f>
        <v/>
      </c>
      <c r="H10" s="38" t="str">
        <f>CONCATENATE(output!H167,output!H145,output!H123,output!H101,output!H78,output!H56,output!H34,output!H12,output!T167,output!T145,output!T123,output!T101,output!T78,output!T56,output!T34,output!T12)</f>
        <v/>
      </c>
      <c r="I10" s="38" t="str">
        <f>CONCATENATE(output!I167,output!I145,output!I123,output!I101,output!I78,output!I56,output!I34,output!I12,output!U167,output!U145,output!U123,output!U101,output!U78,output!U56,output!U34,output!U12)</f>
        <v/>
      </c>
      <c r="J10" s="38" t="str">
        <f>CONCATENATE(output!J167,output!J145,output!J123,output!J101,output!J78,output!J56,output!J34,output!J12,output!V167,output!V145,output!V123,output!V101,output!V78,output!V56,output!V34,output!V12)</f>
        <v/>
      </c>
      <c r="K10" s="38" t="str">
        <f>CONCATENATE(output!K167,output!K145,output!K123,output!K101,output!K78,output!K56,output!K34,output!K12,output!W167,output!W145,output!W123,output!W101,output!W78,output!W56,output!W34,output!W12)</f>
        <v/>
      </c>
    </row>
    <row r="11" spans="1:11" ht="156" customHeight="1" x14ac:dyDescent="0.25">
      <c r="A11" s="8" t="s">
        <v>47</v>
      </c>
      <c r="B11" s="38" t="str">
        <f>CONCATENATE(output!B168,output!B146,output!B124,output!B102,output!B79,output!B57,output!B35,output!B13,output!N168,output!N146,output!N124,output!N102,output!N79,output!N57,output!N35,output!N13)</f>
        <v/>
      </c>
      <c r="C11" s="38" t="str">
        <f>CONCATENATE(output!C168,output!C146,output!C124,output!C102,output!C79,output!C57,output!C35,output!C13,output!O168,output!O146,output!O124,output!O102,output!O79,output!O57,output!O35,output!O13)</f>
        <v/>
      </c>
      <c r="D11" s="38" t="str">
        <f>CONCATENATE(output!D168,output!D146,output!D124,output!D102,output!D79,output!D57,output!D35,output!D13,output!P168,output!P146,output!P124,output!P102,output!P79,output!P57,output!P35,output!P13)</f>
        <v/>
      </c>
      <c r="E11" s="38" t="str">
        <f>CONCATENATE(output!E168,output!E146,output!E124,output!E102,output!E79,output!E57,output!E35,output!E13,output!Q168,output!Q146,output!Q124,output!Q102,output!Q79,output!Q57,output!Q35,output!Q13)</f>
        <v/>
      </c>
      <c r="F11" s="38" t="str">
        <f>CONCATENATE(output!F168,output!F146,output!F124,output!F102,output!F79,output!F57,output!F35,output!F13,output!R168,output!R146,output!R124,output!R102,output!R79,output!R57,output!R35,output!R13)</f>
        <v/>
      </c>
      <c r="G11" s="38" t="str">
        <f>CONCATENATE(output!G168,output!G146,output!G124,output!G102,output!G79,output!G57,output!G35,output!G13,output!S168,output!S146,output!S124,output!S102,output!S79,output!S57,output!S35,output!S13)</f>
        <v/>
      </c>
      <c r="H11" s="38" t="str">
        <f>CONCATENATE(output!H168,output!H146,output!H124,output!H102,output!H79,output!H57,output!H35,output!H13,output!T168,output!T146,output!T124,output!T102,output!T79,output!T57,output!T35,output!T13)</f>
        <v/>
      </c>
      <c r="I11" s="38" t="str">
        <f>CONCATENATE(output!I168,output!I146,output!I124,output!I102,output!I79,output!I57,output!I35,output!I13,output!U168,output!U146,output!U124,output!U102,output!U79,output!U57,output!U35,output!U13)</f>
        <v/>
      </c>
      <c r="J11" s="38" t="str">
        <f>CONCATENATE(output!J168,output!J146,output!J124,output!J102,output!J79,output!J57,output!J35,output!J13,output!V168,output!V146,output!V124,output!V102,output!V79,output!V57,output!V35,output!V13)</f>
        <v/>
      </c>
      <c r="K11" s="38" t="str">
        <f>CONCATENATE(output!K168,output!K146,output!K124,output!K102,output!K79,output!K57,output!K35,output!K13,output!W168,output!W146,output!W124,output!W102,output!W79,output!W57,output!W35,output!W13)</f>
        <v/>
      </c>
    </row>
    <row r="12" spans="1:11" ht="156" customHeight="1" x14ac:dyDescent="0.25">
      <c r="A12" s="8" t="s">
        <v>48</v>
      </c>
      <c r="B12" s="38" t="str">
        <f>CONCATENATE(output!B169,output!B147,output!B125,output!B103,output!B80,output!B58,output!B36,output!B14,output!N169,output!N147,output!N125,output!N103,output!N80,output!N58,output!N36,output!N14)</f>
        <v/>
      </c>
      <c r="C12" s="38" t="str">
        <f>CONCATENATE(output!C169,output!C147,output!C125,output!C103,output!C80,output!C58,output!C36,output!C14,output!O169,output!O147,output!O125,output!O103,output!O80,output!O58,output!O36,output!O14)</f>
        <v/>
      </c>
      <c r="D12" s="38" t="str">
        <f>CONCATENATE(output!D169,output!D147,output!D125,output!D103,output!D80,output!D58,output!D36,output!D14,output!P169,output!P147,output!P125,output!P103,output!P80,output!P58,output!P36,output!P14)</f>
        <v/>
      </c>
      <c r="E12" s="38" t="str">
        <f>CONCATENATE(output!E169,output!E147,output!E125,output!E103,output!E80,output!E58,output!E36,output!E14,output!Q169,output!Q147,output!Q125,output!Q103,output!Q80,output!Q58,output!Q36,output!Q14)</f>
        <v/>
      </c>
      <c r="F12" s="38" t="str">
        <f>CONCATENATE(output!F169,output!F147,output!F125,output!F103,output!F80,output!F58,output!F36,output!F14,output!R169,output!R147,output!R125,output!R103,output!R80,output!R58,output!R36,output!R14)</f>
        <v/>
      </c>
      <c r="G12" s="38" t="str">
        <f>CONCATENATE(output!G169,output!G147,output!G125,output!G103,output!G80,output!G58,output!G36,output!G14,output!S169,output!S147,output!S125,output!S103,output!S80,output!S58,output!S36,output!S14)</f>
        <v/>
      </c>
      <c r="H12" s="38" t="str">
        <f>CONCATENATE(output!H169,output!H147,output!H125,output!H103,output!H80,output!H58,output!H36,output!H14,output!T169,output!T147,output!T125,output!T103,output!T80,output!T58,output!T36,output!T14)</f>
        <v/>
      </c>
      <c r="I12" s="38" t="str">
        <f>CONCATENATE(output!I169,output!I147,output!I125,output!I103,output!I80,output!I58,output!I36,output!I14,output!U169,output!U147,output!U125,output!U103,output!U80,output!U58,output!U36,output!U14)</f>
        <v/>
      </c>
      <c r="J12" s="38" t="str">
        <f>CONCATENATE(output!J169,output!J147,output!J125,output!J103,output!J80,output!J58,output!J36,output!J14,output!V169,output!V147,output!V125,output!V103,output!V80,output!V58,output!V36,output!V14)</f>
        <v/>
      </c>
      <c r="K12" s="38" t="str">
        <f>CONCATENATE(output!K169,output!K147,output!K125,output!K103,output!K80,output!K58,output!K36,output!K14,output!W169,output!W147,output!W125,output!W103,output!W80,output!W58,output!W36,output!W14)</f>
        <v/>
      </c>
    </row>
    <row r="13" spans="1:11" ht="156" customHeight="1" x14ac:dyDescent="0.25">
      <c r="A13" s="8" t="s">
        <v>49</v>
      </c>
      <c r="B13" s="38" t="str">
        <f>CONCATENATE(output!B170,output!B148,output!B126,output!B104,output!B81,output!B59,output!B37,output!B15,output!N170,output!N148,output!N126,output!N104,output!N81,output!N59,output!N37,output!N15)</f>
        <v/>
      </c>
      <c r="C13" s="38" t="str">
        <f>CONCATENATE(output!C170,output!C148,output!C126,output!C104,output!C81,output!C59,output!C37,output!C15,output!O170,output!O148,output!O126,output!O104,output!O81,output!O59,output!O37,output!O15)</f>
        <v/>
      </c>
      <c r="D13" s="38" t="str">
        <f>CONCATENATE(output!D170,output!D148,output!D126,output!D104,output!D81,output!D59,output!D37,output!D15,output!P170,output!P148,output!P126,output!P104,output!P81,output!P59,output!P37,output!P15)</f>
        <v/>
      </c>
      <c r="E13" s="38" t="str">
        <f>CONCATENATE(output!E170,output!E148,output!E126,output!E104,output!E81,output!E59,output!E37,output!E15,output!Q170,output!Q148,output!Q126,output!Q104,output!Q81,output!Q59,output!Q37,output!Q15)</f>
        <v/>
      </c>
      <c r="F13" s="38" t="str">
        <f>CONCATENATE(output!F170,output!F148,output!F126,output!F104,output!F81,output!F59,output!F37,output!F15,output!R170,output!R148,output!R126,output!R104,output!R81,output!R59,output!R37,output!R15)</f>
        <v/>
      </c>
      <c r="G13" s="38" t="str">
        <f>CONCATENATE(output!G170,output!G148,output!G126,output!G104,output!G81,output!G59,output!G37,output!G15,output!S170,output!S148,output!S126,output!S104,output!S81,output!S59,output!S37,output!S15)</f>
        <v/>
      </c>
      <c r="H13" s="38" t="str">
        <f>CONCATENATE(output!H170,output!H148,output!H126,output!H104,output!H81,output!H59,output!H37,output!H15,output!T170,output!T148,output!T126,output!T104,output!T81,output!T59,output!T37,output!T15)</f>
        <v/>
      </c>
      <c r="I13" s="38" t="str">
        <f>CONCATENATE(output!I170,output!I148,output!I126,output!I104,output!I81,output!I59,output!I37,output!I15,output!U170,output!U148,output!U126,output!U104,output!U81,output!U59,output!U37,output!U15)</f>
        <v/>
      </c>
      <c r="J13" s="38" t="str">
        <f>CONCATENATE(output!J170,output!J148,output!J126,output!J104,output!J81,output!J59,output!J37,output!J15,output!V170,output!V148,output!V126,output!V104,output!V81,output!V59,output!V37,output!V15)</f>
        <v/>
      </c>
      <c r="K13" s="38" t="str">
        <f>CONCATENATE(output!K170,output!K148,output!K126,output!K104,output!K81,output!K59,output!K37,output!K15,output!W170,output!W148,output!W126,output!W104,output!W81,output!W59,output!W37,output!W15)</f>
        <v/>
      </c>
    </row>
    <row r="14" spans="1:11" ht="156" customHeight="1" x14ac:dyDescent="0.25">
      <c r="A14" s="8" t="s">
        <v>50</v>
      </c>
      <c r="B14" s="38" t="str">
        <f>CONCATENATE(output!B171,output!B149,output!B127,output!B105,output!B82,output!B60,output!B38,output!B16,output!N171,output!N149,output!N127,output!N105,output!N82,output!N60,output!N38,output!N16)</f>
        <v/>
      </c>
      <c r="C14" s="38" t="str">
        <f>CONCATENATE(output!C171,output!C149,output!C127,output!C105,output!C82,output!C60,output!C38,output!C16,output!O171,output!O149,output!O127,output!O105,output!O82,output!O60,output!O38,output!O16)</f>
        <v/>
      </c>
      <c r="D14" s="38" t="str">
        <f>CONCATENATE(output!D171,output!D149,output!D127,output!D105,output!D82,output!D60,output!D38,output!D16,output!P171,output!P149,output!P127,output!P105,output!P82,output!P60,output!P38,output!P16)</f>
        <v/>
      </c>
      <c r="E14" s="38" t="str">
        <f>CONCATENATE(output!E171,output!E149,output!E127,output!E105,output!E82,output!E60,output!E38,output!E16,output!Q171,output!Q149,output!Q127,output!Q105,output!Q82,output!Q60,output!Q38,output!Q16)</f>
        <v/>
      </c>
      <c r="F14" s="38" t="str">
        <f>CONCATENATE(output!F171,output!F149,output!F127,output!F105,output!F82,output!F60,output!F38,output!F16,output!R171,output!R149,output!R127,output!R105,output!R82,output!R60,output!R38,output!R16)</f>
        <v/>
      </c>
      <c r="G14" s="38" t="str">
        <f>CONCATENATE(output!G171,output!G149,output!G127,output!G105,output!G82,output!G60,output!G38,output!G16,output!S171,output!S149,output!S127,output!S105,output!S82,output!S60,output!S38,output!S16)</f>
        <v/>
      </c>
      <c r="H14" s="38" t="str">
        <f>CONCATENATE(output!H171,output!H149,output!H127,output!H105,output!H82,output!H60,output!H38,output!H16,output!T171,output!T149,output!T127,output!T105,output!T82,output!T60,output!T38,output!T16)</f>
        <v/>
      </c>
      <c r="I14" s="38" t="str">
        <f>CONCATENATE(output!I171,output!I149,output!I127,output!I105,output!I82,output!I60,output!I38,output!I16,output!U171,output!U149,output!U127,output!U105,output!U82,output!U60,output!U38,output!U16)</f>
        <v/>
      </c>
      <c r="J14" s="38" t="str">
        <f>CONCATENATE(output!J171,output!J149,output!J127,output!J105,output!J82,output!J60,output!J38,output!J16,output!V171,output!V149,output!V127,output!V105,output!V82,output!V60,output!V38,output!V16)</f>
        <v/>
      </c>
      <c r="K14" s="38" t="str">
        <f>CONCATENATE(output!K171,output!K149,output!K127,output!K105,output!K82,output!K60,output!K38,output!K16,output!W171,output!W149,output!W127,output!W105,output!W82,output!W60,output!W38,output!W16)</f>
        <v/>
      </c>
    </row>
    <row r="15" spans="1:11" ht="156" customHeight="1" x14ac:dyDescent="0.25">
      <c r="A15" s="8" t="s">
        <v>51</v>
      </c>
      <c r="B15" s="38" t="str">
        <f>CONCATENATE(output!B172,output!B150,output!B128,output!B106,output!B83,output!B61,output!B39,output!B17,output!N172,output!N150,output!N128,output!N106,output!N83,output!N61,output!N39,output!N17)</f>
        <v/>
      </c>
      <c r="C15" s="38" t="str">
        <f>CONCATENATE(output!C172,output!C150,output!C128,output!C106,output!C83,output!C61,output!C39,output!C17,output!O172,output!O150,output!O128,output!O106,output!O83,output!O61,output!O39,output!O17)</f>
        <v/>
      </c>
      <c r="D15" s="38" t="str">
        <f>CONCATENATE(output!D172,output!D150,output!D128,output!D106,output!D83,output!D61,output!D39,output!D17,output!P172,output!P150,output!P128,output!P106,output!P83,output!P61,output!P39,output!P17)</f>
        <v/>
      </c>
      <c r="E15" s="38" t="str">
        <f>CONCATENATE(output!E172,output!E150,output!E128,output!E106,output!E83,output!E61,output!E39,output!E17,output!Q172,output!Q150,output!Q128,output!Q106,output!Q83,output!Q61,output!Q39,output!Q17)</f>
        <v/>
      </c>
      <c r="F15" s="38" t="str">
        <f>CONCATENATE(output!F172,output!F150,output!F128,output!F106,output!F83,output!F61,output!F39,output!F17,output!R172,output!R150,output!R128,output!R106,output!R83,output!R61,output!R39,output!R17)</f>
        <v/>
      </c>
      <c r="G15" s="38" t="str">
        <f>CONCATENATE(output!G172,output!G150,output!G128,output!G106,output!G83,output!G61,output!G39,output!G17,output!S172,output!S150,output!S128,output!S106,output!S83,output!S61,output!S39,output!S17)</f>
        <v/>
      </c>
      <c r="H15" s="38" t="str">
        <f>CONCATENATE(output!H172,output!H150,output!H128,output!H106,output!H83,output!H61,output!H39,output!H17,output!T172,output!T150,output!T128,output!T106,output!T83,output!T61,output!T39,output!T17)</f>
        <v/>
      </c>
      <c r="I15" s="38" t="str">
        <f>CONCATENATE(output!I172,output!I150,output!I128,output!I106,output!I83,output!I61,output!I39,output!I17,output!U172,output!U150,output!U128,output!U106,output!U83,output!U61,output!U39,output!U17)</f>
        <v/>
      </c>
      <c r="J15" s="38" t="str">
        <f>CONCATENATE(output!J172,output!J150,output!J128,output!J106,output!J83,output!J61,output!J39,output!J17,output!V172,output!V150,output!V128,output!V106,output!V83,output!V61,output!V39,output!V17)</f>
        <v/>
      </c>
      <c r="K15" s="38" t="str">
        <f>CONCATENATE(output!K172,output!K150,output!K128,output!K106,output!K83,output!K61,output!K39,output!K17,output!W172,output!W150,output!W128,output!W106,output!W83,output!W61,output!W39,output!W17)</f>
        <v/>
      </c>
    </row>
    <row r="16" spans="1:11" ht="156" customHeight="1" x14ac:dyDescent="0.25">
      <c r="A16" s="8" t="s">
        <v>52</v>
      </c>
      <c r="B16" s="38" t="str">
        <f>CONCATENATE(output!B173,output!B151,output!B129,output!B107,output!B84,output!B62,output!B40,output!B18,output!N173,output!N151,output!N129,output!N107,output!N84,output!N62,output!N40,output!N18)</f>
        <v/>
      </c>
      <c r="C16" s="38" t="str">
        <f>CONCATENATE(output!C173,output!C151,output!C129,output!C107,output!C84,output!C62,output!C40,output!C18,output!O173,output!O151,output!O129,output!O107,output!O84,output!O62,output!O40,output!O18)</f>
        <v/>
      </c>
      <c r="D16" s="38" t="str">
        <f>CONCATENATE(output!D173,output!D151,output!D129,output!D107,output!D84,output!D62,output!D40,output!D18,output!P173,output!P151,output!P129,output!P107,output!P84,output!P62,output!P40,output!P18)</f>
        <v/>
      </c>
      <c r="E16" s="38" t="str">
        <f>CONCATENATE(output!E173,output!E151,output!E129,output!E107,output!E84,output!E62,output!E40,output!E18,output!Q173,output!Q151,output!Q129,output!Q107,output!Q84,output!Q62,output!Q40,output!Q18)</f>
        <v/>
      </c>
      <c r="F16" s="38" t="str">
        <f>CONCATENATE(output!F173,output!F151,output!F129,output!F107,output!F84,output!F62,output!F40,output!F18,output!R173,output!R151,output!R129,output!R107,output!R84,output!R62,output!R40,output!R18)</f>
        <v/>
      </c>
      <c r="G16" s="38" t="str">
        <f>CONCATENATE(output!G173,output!G151,output!G129,output!G107,output!G84,output!G62,output!G40,output!G18,output!S173,output!S151,output!S129,output!S107,output!S84,output!S62,output!S40,output!S18)</f>
        <v/>
      </c>
      <c r="H16" s="38" t="str">
        <f>CONCATENATE(output!H173,output!H151,output!H129,output!H107,output!H84,output!H62,output!H40,output!H18,output!T173,output!T151,output!T129,output!T107,output!T84,output!T62,output!T40,output!T18)</f>
        <v/>
      </c>
      <c r="I16" s="38" t="str">
        <f>CONCATENATE(output!I173,output!I151,output!I129,output!I107,output!I84,output!I62,output!I40,output!I18,output!U173,output!U151,output!U129,output!U107,output!U84,output!U62,output!U40,output!U18)</f>
        <v/>
      </c>
      <c r="J16" s="38" t="str">
        <f>CONCATENATE(output!J173,output!J151,output!J129,output!J107,output!J84,output!J62,output!J40,output!J18,output!V173,output!V151,output!V129,output!V107,output!V84,output!V62,output!V40,output!V18)</f>
        <v/>
      </c>
      <c r="K16" s="38" t="str">
        <f>CONCATENATE(output!K173,output!K151,output!K129,output!K107,output!K84,output!K62,output!K40,output!K18,output!W173,output!W151,output!W129,output!W107,output!W84,output!W62,output!W40,output!W18)</f>
        <v/>
      </c>
    </row>
    <row r="17" spans="1:11" ht="156" customHeight="1" x14ac:dyDescent="0.25">
      <c r="A17" s="8" t="s">
        <v>53</v>
      </c>
      <c r="B17" s="38" t="str">
        <f>CONCATENATE(output!B174,output!B152,output!B130,output!B108,output!B85,output!B63,output!B41,output!B19,output!N174,output!N152,output!N130,output!N108,output!N85,output!N63,output!N41,output!N19)</f>
        <v/>
      </c>
      <c r="C17" s="38" t="str">
        <f>CONCATENATE(output!C174,output!C152,output!C130,output!C108,output!C85,output!C63,output!C41,output!C19,output!O174,output!O152,output!O130,output!O108,output!O85,output!O63,output!O41,output!O19)</f>
        <v/>
      </c>
      <c r="D17" s="38" t="str">
        <f>CONCATENATE(output!D174,output!D152,output!D130,output!D108,output!D85,output!D63,output!D41,output!D19,output!P174,output!P152,output!P130,output!P108,output!P85,output!P63,output!P41,output!P19)</f>
        <v/>
      </c>
      <c r="E17" s="38" t="str">
        <f>CONCATENATE(output!E174,output!E152,output!E130,output!E108,output!E85,output!E63,output!E41,output!E19,output!Q174,output!Q152,output!Q130,output!Q108,output!Q85,output!Q63,output!Q41,output!Q19)</f>
        <v/>
      </c>
      <c r="F17" s="38" t="str">
        <f>CONCATENATE(output!F174,output!F152,output!F130,output!F108,output!F85,output!F63,output!F41,output!F19,output!R174,output!R152,output!R130,output!R108,output!R85,output!R63,output!R41,output!R19)</f>
        <v/>
      </c>
      <c r="G17" s="38" t="str">
        <f>CONCATENATE(output!G174,output!G152,output!G130,output!G108,output!G85,output!G63,output!G41,output!G19,output!S174,output!S152,output!S130,output!S108,output!S85,output!S63,output!S41,output!S19)</f>
        <v/>
      </c>
      <c r="H17" s="38" t="str">
        <f>CONCATENATE(output!H174,output!H152,output!H130,output!H108,output!H85,output!H63,output!H41,output!H19,output!T174,output!T152,output!T130,output!T108,output!T85,output!T63,output!T41,output!T19)</f>
        <v/>
      </c>
      <c r="I17" s="38" t="str">
        <f>CONCATENATE(output!I174,output!I152,output!I130,output!I108,output!I85,output!I63,output!I41,output!I19,output!U174,output!U152,output!U130,output!U108,output!U85,output!U63,output!U41,output!U19)</f>
        <v/>
      </c>
      <c r="J17" s="38" t="str">
        <f>CONCATENATE(output!J174,output!J152,output!J130,output!J108,output!J85,output!J63,output!J41,output!J19,output!V174,output!V152,output!V130,output!V108,output!V85,output!V63,output!V41,output!V19)</f>
        <v/>
      </c>
      <c r="K17" s="38" t="str">
        <f>CONCATENATE(output!K174,output!K152,output!K130,output!K108,output!K85,output!K63,output!K41,output!K19,output!W174,output!W152,output!W130,output!W108,output!W85,output!W63,output!W41,output!W19)</f>
        <v/>
      </c>
    </row>
    <row r="18" spans="1:11" ht="156" customHeight="1" x14ac:dyDescent="0.25">
      <c r="A18" s="8" t="s">
        <v>54</v>
      </c>
      <c r="B18" s="38" t="str">
        <f>CONCATENATE(output!B175,output!B153,output!B131,output!B109,output!B86,output!B64,output!B42,output!B20,output!N175,output!N153,output!N131,output!N109,output!N86,output!N64,output!N42,output!N20)</f>
        <v/>
      </c>
      <c r="C18" s="38" t="str">
        <f>CONCATENATE(output!C175,output!C153,output!C131,output!C109,output!C86,output!C64,output!C42,output!C20,output!O175,output!O153,output!O131,output!O109,output!O86,output!O64,output!O42,output!O20)</f>
        <v/>
      </c>
      <c r="D18" s="38" t="str">
        <f>CONCATENATE(output!D175,output!D153,output!D131,output!D109,output!D86,output!D64,output!D42,output!D20,output!P175,output!P153,output!P131,output!P109,output!P86,output!P64,output!P42,output!P20)</f>
        <v/>
      </c>
      <c r="E18" s="38" t="str">
        <f>CONCATENATE(output!E175,output!E153,output!E131,output!E109,output!E86,output!E64,output!E42,output!E20,output!Q175,output!Q153,output!Q131,output!Q109,output!Q86,output!Q64,output!Q42,output!Q20)</f>
        <v/>
      </c>
      <c r="F18" s="38" t="str">
        <f>CONCATENATE(output!F175,output!F153,output!F131,output!F109,output!F86,output!F64,output!F42,output!F20,output!R175,output!R153,output!R131,output!R109,output!R86,output!R64,output!R42,output!R20)</f>
        <v/>
      </c>
      <c r="G18" s="38" t="str">
        <f>CONCATENATE(output!G175,output!G153,output!G131,output!G109,output!G86,output!G64,output!G42,output!G20,output!S175,output!S153,output!S131,output!S109,output!S86,output!S64,output!S42,output!S20)</f>
        <v/>
      </c>
      <c r="H18" s="38" t="str">
        <f>CONCATENATE(output!H175,output!H153,output!H131,output!H109,output!H86,output!H64,output!H42,output!H20,output!T175,output!T153,output!T131,output!T109,output!T86,output!T64,output!T42,output!T20)</f>
        <v/>
      </c>
      <c r="I18" s="38" t="str">
        <f>CONCATENATE(output!I175,output!I153,output!I131,output!I109,output!I86,output!I64,output!I42,output!I20,output!U175,output!U153,output!U131,output!U109,output!U86,output!U64,output!U42,output!U20)</f>
        <v/>
      </c>
      <c r="J18" s="38" t="str">
        <f>CONCATENATE(output!J175,output!J153,output!J131,output!J109,output!J86,output!J64,output!J42,output!J20,output!V175,output!V153,output!V131,output!V109,output!V86,output!V64,output!V42,output!V20)</f>
        <v/>
      </c>
      <c r="K18" s="38" t="str">
        <f>CONCATENATE(output!K175,output!K153,output!K131,output!K109,output!K86,output!K64,output!K42,output!K20,output!W175,output!W153,output!W131,output!W109,output!W86,output!W64,output!W42,output!W20)</f>
        <v/>
      </c>
    </row>
    <row r="19" spans="1:11" x14ac:dyDescent="0.25">
      <c r="A19" s="8" t="s">
        <v>55</v>
      </c>
      <c r="B19" s="38" t="str">
        <f>CONCATENATE(output!B176,output!B154,output!B132,output!B110,output!B87,output!B65,output!B43,output!B21,output!N176,output!N154,output!N132,output!N110,output!N87,output!N65,output!N43,output!N21)</f>
        <v/>
      </c>
      <c r="C19" s="38" t="str">
        <f>CONCATENATE(output!C176,output!C154,output!C132,output!C110,output!C87,output!C65,output!C43,output!C21,output!O176,output!O154,output!O132,output!O110,output!O87,output!O65,output!O43,output!O21)</f>
        <v/>
      </c>
      <c r="D19" s="38" t="str">
        <f>CONCATENATE(output!D176,output!D154,output!D132,output!D110,output!D87,output!D65,output!D43,output!D21,output!P176,output!P154,output!P132,output!P110,output!P87,output!P65,output!P43,output!P21)</f>
        <v/>
      </c>
      <c r="E19" s="38" t="str">
        <f>CONCATENATE(output!E176,output!E154,output!E132,output!E110,output!E87,output!E65,output!E43,output!E21,output!Q176,output!Q154,output!Q132,output!Q110,output!Q87,output!Q65,output!Q43,output!Q21)</f>
        <v/>
      </c>
      <c r="F19" s="38" t="str">
        <f>CONCATENATE(output!F176,output!F154,output!F132,output!F110,output!F87,output!F65,output!F43,output!F21,output!R176,output!R154,output!R132,output!R110,output!R87,output!R65,output!R43,output!R21)</f>
        <v/>
      </c>
      <c r="G19" s="38" t="str">
        <f>CONCATENATE(output!G176,output!G154,output!G132,output!G110,output!G87,output!G65,output!G43,output!G21,output!S176,output!S154,output!S132,output!S110,output!S87,output!S65,output!S43,output!S21)</f>
        <v/>
      </c>
      <c r="H19" s="38" t="str">
        <f>CONCATENATE(output!H176,output!H154,output!H132,output!H110,output!H87,output!H65,output!H43,output!H21,output!T176,output!T154,output!T132,output!T110,output!T87,output!T65,output!T43,output!T21)</f>
        <v/>
      </c>
      <c r="I19" s="38" t="str">
        <f>CONCATENATE(output!I176,output!I154,output!I132,output!I110,output!I87,output!I65,output!I43,output!I21,output!U176,output!U154,output!U132,output!U110,output!U87,output!U65,output!U43,output!U21)</f>
        <v/>
      </c>
      <c r="J19" s="38" t="str">
        <f>CONCATENATE(output!J176,output!J154,output!J132,output!J110,output!J87,output!J65,output!J43,output!J21,output!V176,output!V154,output!V132,output!V110,output!V87,output!V65,output!V43,output!V21)</f>
        <v/>
      </c>
      <c r="K19" s="38" t="str">
        <f>CONCATENATE(output!K176,output!K154,output!K132,output!K110,output!K87,output!K65,output!K43,output!K21,output!W176,output!W154,output!W132,output!W110,output!W87,output!W65,output!W43,output!W21)</f>
        <v/>
      </c>
    </row>
    <row r="20" spans="1:11" x14ac:dyDescent="0.25">
      <c r="A20" s="8" t="s">
        <v>56</v>
      </c>
      <c r="B20" s="38" t="str">
        <f>CONCATENATE(output!B177,output!B155,output!B133,output!B111,output!B88,output!B66,output!B44,output!B22,output!N177,output!N155,output!N133,output!N111,output!N88,output!N66,output!N44,output!N22)</f>
        <v/>
      </c>
      <c r="C20" s="38" t="str">
        <f>CONCATENATE(output!C177,output!C155,output!C133,output!C111,output!C88,output!C66,output!C44,output!C22,output!O177,output!O155,output!O133,output!O111,output!O88,output!O66,output!O44,output!O22)</f>
        <v/>
      </c>
      <c r="D20" s="38" t="str">
        <f>CONCATENATE(output!D177,output!D155,output!D133,output!D111,output!D88,output!D66,output!D44,output!D22,output!P177,output!P155,output!P133,output!P111,output!P88,output!P66,output!P44,output!P22)</f>
        <v/>
      </c>
      <c r="E20" s="38" t="str">
        <f>CONCATENATE(output!E177,output!E155,output!E133,output!E111,output!E88,output!E66,output!E44,output!E22,output!Q177,output!Q155,output!Q133,output!Q111,output!Q88,output!Q66,output!Q44,output!Q22)</f>
        <v/>
      </c>
      <c r="F20" s="38" t="str">
        <f>CONCATENATE(output!F177,output!F155,output!F133,output!F111,output!F88,output!F66,output!F44,output!F22,output!R177,output!R155,output!R133,output!R111,output!R88,output!R66,output!R44,output!R22)</f>
        <v/>
      </c>
      <c r="G20" s="38" t="str">
        <f>CONCATENATE(output!G177,output!G155,output!G133,output!G111,output!G88,output!G66,output!G44,output!G22,output!S177,output!S155,output!S133,output!S111,output!S88,output!S66,output!S44,output!S22)</f>
        <v/>
      </c>
      <c r="H20" s="38" t="str">
        <f>CONCATENATE(output!H177,output!H155,output!H133,output!H111,output!H88,output!H66,output!H44,output!H22,output!T177,output!T155,output!T133,output!T111,output!T88,output!T66,output!T44,output!T22)</f>
        <v/>
      </c>
      <c r="I20" s="38" t="str">
        <f>CONCATENATE(output!I177,output!I155,output!I133,output!I111,output!I88,output!I66,output!I44,output!I22,output!U177,output!U155,output!U133,output!U111,output!U88,output!U66,output!U44,output!U22)</f>
        <v/>
      </c>
      <c r="J20" s="38" t="str">
        <f>CONCATENATE(output!J177,output!J155,output!J133,output!J111,output!J88,output!J66,output!J44,output!J22,output!V177,output!V155,output!V133,output!V111,output!V88,output!V66,output!V44,output!V22)</f>
        <v/>
      </c>
      <c r="K20" s="38" t="str">
        <f>CONCATENATE(output!K177,output!K155,output!K133,output!K111,output!K88,output!K66,output!K44,output!K22,output!W177,output!W155,output!W133,output!W111,output!W88,output!W66,output!W44,output!W22)</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toredFilesList xmlns:xsd="http://www.w3.org/2001/XMLSchema" xmlns:xsi="http://www.w3.org/2001/XMLSchema-instance" xmlns="http://opensolver.org" xml:space="preserve" Version="01.00">
  <StoredFiles>
    <StoredFile>
      <FileName>Untitled</FileName>
      <LanguageName>GurobiPython</LanguageName>
      <ModelPaneVisible>true</ModelPaneVisible>
      <ModelSettings/>
      <FileText>#yeni eklenen kisitlar
#ayni anda olsun dersleri icin olusturulan tabloyu cikardik.
#onun yerine coursefeature tablosuna 5.sutun ekledik. sonra zamanlari icin tablo tanimladik.
#yaninda a,b,c ya da d yazan dersleri pes pese yaziyoruz.
#Bu derslerden sonraki slotu bos birakacagiz. 
from gurobipy import * 
from SolverStudio import *
SchoolX  = [EMLAK1,EMLAK2,BANKA1,BANKA2,ISLETME1,ISLETME2,PAZARLAMA1,PAZARLAMA2,DISTICARET1,DISTICARET2,MUHASEBE1,MUHASEBE2,TURIZM1,TURIZM2]
SchoolX2 = [EMLAK1+EMLAK2,BANKA1+BANKA2,ISLETME1+ISLETME2,PAZARLAMA1+PAZARLAMA2,DISTICARET1+DISTICARET2,MUHASEBE1+MUHASEBE2,TURIZM1+TURIZM2]
m = Model("IU_ExamScheduling")
SubModels = {}
for d in Days:
   for t in TimeInterval:
      #print((d,t))
      SubModels[(d,t)] = Model("Submodel"+"_"+str(d)+"_" +str(t))
## Define variables
##X variable
ExamVar={}
for d in Days:
   for i in Courses:
      for j in Classrooms:
         for t in TimeInterval:
            ExamVar[i,j,d,t] = SubModels[(d,t)].addVar(obj=100, vtype=GRB.BINARY, name = '%d.%d.%d.%d' % (i,j,d,t))
##Z variable
CourseVar={}
for d in Days:
   for i in Courses:
      for t in TimeInterval:
         CourseVar[i,d,t] = m.addVar(obj=0, vtype=GRB.BINARY, name = '%d.%d.%d' % (i,d,t))
## Population Variable 
Population={}
for d in Days:
   for i in Courses:
      for j in Classrooms:
         for t in TimeInterval:
            Population[i,j,d,t] = SubModels[(d,t)].addVar(obj=100, vtype=GRB.CONTINUOUS, name = '%d.%d.%d' % (i,j,d))
Derslik = {}
for d in Days:
   for j in Classrooms:
      for t in TimeInterval:
         Derslik[j,d,t] = SubModels[(d,t)].addVar(obj=100, vtype=GRB.BINARY, name = '%d.%d.%d' % (i,j,d))
dev1 = {}
dev2 = {}
for r in SameTimeListIndex:
   for d in Days:
      for t in TimeInterval:
         dev1[r,d,t]=m.addVar(obj = SameTimeList[r,2], vtype=GRB.CONTINUOUS,name = '%d.%d.%d' %(i,d,t))
         dev2[r,d,t]=m.addVar(obj = SameTimeList[r,2], vtype=GRB.CONTINUOUS,name = '%d.%d.%d' %(i,d,t))
#simdilik kapattik hizli cozum bulabilmek icin
#24.01.2020
#25.0.2020 actik tekrar
dev3= {}
for s in range(len(SchoolX)):
   for i1 in range(len(SchoolX[s])):
      for i2 in range(i1+1,len(SchoolX[s])):
         for i3 in range(i2+1,len(SchoolX[s])):
            for d in Days:
               dev3[s,i1,i2,i3,d]=m.addVar(obj = 5, vtype=GRB.CONTINUOUS, ub =1, name = '%d.%d.%d' %(i,d,t))
m.update()
for d in Days:
    for t in TimeInterval:
        SubModels[(d,t)].update()
m.setObjective(
quicksum([dev1[r,d,t]*SameTimeList[r,2] for r in SameTimeListIndex for d in Days for t in TimeInterval])\
+quicksum([dev2[r,d,t]*SameTimeList[r,2] for r in SameTimeListIndex for d in Days for t in TimeInterval])\
)
m.modelSense = GRB.MINIMIZE
SixtyCourses = ()
LessSixtyCourses = ()
for i in Courses:
   if CourseFeature[i,0] == 1:
      SixtyCourses = SixtyCourses + (i,)
   elif CourseFeature[i,0] == 0:
      LessSixtyCourses = LessSixtyCourses + (i,)
#we need to define classroom courses and laboratory courses by using tuples
ClassroomCourses = ()
LaboratoryCourses = ()
for i in Courses:
   if CourseFeature[i,3]==0:
      ClassroomCourses = ClassroomCourses + (i,)
   elif CourseFeature[i,3]==1:
      LaboratoryCourses = LaboratoryCourses + (i,)
#Constraint A.1
#The number of students taking the exam cannot exceed total capacity
for d in Days: #
   for t in TimeInterval:
      m.addConstr((quicksum(CourseVar[i,d,t]*capacityofcourses[i,2] for i in ClassroomCourses)&lt;= quicksum(capacityofclass[j,1] for j in Classroom)), name='demand_%d' % (i))
      m.addConstr((quicksum(CourseVar[i,d,t]*capacityofcourses[i,2] for i in LaboratoryCourses)&lt;= quicksum(capacityofclass[j,1] for j in LabClassroom)), name='demand_%d' % (i))
#Constraint 1
#Each course can be assigned a day and time interval.
#birinci ogretim tek slotlar
for i in Courses: #tek slot suren sinavlar
   m.addConstr((quicksum(CourseVar[i,d,t] for d in Days for t in TimeInterval)==1), name='demand_%d' % (i))
# Constraint 6
#Bir bolumun bir zaman araliginda bir sinavinin olmasi
for d in Days:
   for t in TimeInterval:
      for ii in SchoolX2:
         for i in ii:
            for ip in ii:
               if(i&lt;ip) and not ((i in SameTimeCoursesArray1) and (ip in SameTimeCoursesArray2)):
                  m.addConstr((CourseVar[i,d,t] + CourseVar[ip,d,t] &lt;=1), name='demand1_%d' % (i))
# Constraint 8
# Ayni anda olmasi gereken sinavlar var. Zorunlu degil.
#08.10.2019
#bazi dersler kesinklikle ayni anda olmali, bazilari ise olsada olur olmasada
#bunun icin sapma degiskenine carpim katsayisi ekledik. 1 ise hard, 0 ise soft
for r in SameTimeListIndex:
   for d in Days:
      for t in TimeInterval:
          m.addConstr(((CourseVar[SameTimeList[r,0],d,t]/CourseFeature[SameTimeList[r,0],2] - CourseVar[SameTimeList[r,1],d,t]/CourseFeature[SameTimeList[r,1],2]) == 0 + dev1[r,d,t]*(1-SameTimeList[r,3])-dev2[r,d,t]*(1-SameTimeList[r,3])), name='demand_%d' % (i))
MyTuple =()
for i in range(len(ExceptionArray1)):
   MyTuple = MyTuple + ((ExceptionArray1[i],ExceptionArray2[i]),)
#Bir gunde mumkunse 2 den fazla ders yazmasin
for s in range(len(SchoolX)):
   for i1 in range(len(SchoolX[s])):
      for i2 in range(i1+1,len(SchoolX[s])):
         for i3 in range(i2+1,len(SchoolX[s])):
            for d in Days:
               if not (((SchoolX[s][i1],SchoolX[s][i2]) in MyTuple) or ((SchoolX[s][i1],SchoolX[s][i3]) in MyTuple) or ((SchoolX[s][i2],SchoolX[s][i3]) in MyTuple)):
                  m.addConstr((( quicksum(CourseVar[SchoolX[s][i1],d,t]/CourseFeature[SchoolX[s][i1],2]  + CourseVar[SchoolX[s][i2],d,t]/CourseFeature[SchoolX[s][i2],2] + CourseVar[SchoolX[s][i3],d,t]/CourseFeature[SchoolX[s][i3],2] for t in TimeInterval)) &lt;= 2 + dev3[s,i1,i2,i3,d]), name='demand_%s' % (i))
#ayni gun kesinlikle 3 sinav olmasin
for s in range(len(SchoolX)):
   for i1 in range(len(SchoolX[s])):
      for i2 in range(i1+1,len(SchoolX[s])):
         for i3 in range(i2+1,len(SchoolX[s])):
            for i4 in range(i3+1,len(SchoolX[s])):
               for d in Days:
                  if not (((SchoolX[s][i1],SchoolX[s][i2]) in MyTuple) or ((SchoolX[s][i1],SchoolX[s][i3]) in MyTuple) or ((SchoolX[s][i2],SchoolX[s][i3]) in MyTuple) or ((SchoolX[s][i1],SchoolX[s][i4]) in MyTuple) or ((SchoolX[s][i2],SchoolX[s][i4]) in MyTuple) or ((SchoolX[s][i3],SchoolX[s][i4]) in MyTuple)):
                     m.addConstr((( quicksum(CourseVar[SchoolX[s][i1],d,t]/CourseFeature[SchoolX[s][i1],2]  + CourseVar[SchoolX[s][i2],d,t]/CourseFeature[SchoolX[s][i2],2] + CourseVar[SchoolX[s][i3],d,t]/CourseFeature[SchoolX[s][i3],2] + CourseVar[SchoolX[s][i4],d,t]/CourseFeature[SchoolX[s][i4],2] for t in TimeInterval)) &lt;= 3 ), name='demand_%s' % (i))
for i in Courses: 
   if CourseFeature[i,5]== "a":
      for s in JointCourseListIndex:
         if JointCourseList[s,1] == "a":
            m.addConstr(((CourseVar[i,JointCourseList[s,2],JointCourseList[s,3]]) == 1), name='demand_%d' % (i))
   if CourseFeature[i,5]== "b":
      for s in JointCourseListIndex:
         if JointCourseList[s,1] == "b":
            m.addConstr(((CourseVar[i,JointCourseList[s,2],JointCourseList[s,3]]) == 1), name='demand_%d' % (i))
   if CourseFeature[i,5]== "c":
      for s in JointCourseListIndex:
         if JointCourseList[s,1] == "c":
            m.addConstr(((CourseVar[i,JointCourseList[s,2],JointCourseList[s,3]]) == 1), name='demand_%d' % (i))
   if CourseFeature[i,5]== "d":
      for s in JointCourseListIndex:
         if JointCourseList[s,1] == "d":
            m.addConstr(((CourseVar[i,JointCourseList[s,2],JointCourseList[s,3]]) == 1), name='demand_%d' % (i))
   if CourseFeature[i,5]== "e":
      for s in JointCourseListIndex:
         if JointCourseList[s,1] == "e":
            m.addConstr(((CourseVar[i,JointCourseList[s,2],JointCourseList[s,3]]) == 1), name='demand_%d' % (i))
   if CourseFeature[i,5]== "f":
      for s in JointCourseListIndex:
         if JointCourseList[s,1] == "f":
            m.addConstr(((CourseVar[i,JointCourseList[s,2],JointCourseList[s,3]]) == 1), name='demand_%d' % (i))
m.Params.timeLimit = 10800.0
m.Params.MIPGAP = 0.25
m.optimize()
def printSolution():
   if m.status == GRB.status.OPTIMAL:
        print '\n  SolverResult:', m.objVal
        print '\n  Examvar:'
        for i in Courses:
            for d in Days:
              for t in TimeInterval:
                  if CourseVar[i,d,t].x &gt; 0.01:
                      print 'Z(%d.%d.%d)' % (i,d,t), CourseVar[i,d,t].x
                      #print 'P(%d.%d.%d.%d)' % (i,j,d,t), Population[i,j,d,t].x
                  #CourseVar[i,d,t]=CourseVar[i,d,t].x
   else:
        print 'No solution'
#printSolution()
for d in Days:
   for t in TimeInterval:
      SubModels[(d,t)].setObjective(quicksum([ExamVar[i,j,d,t]*100 for i in Courses for  j in Classrooms])\
+quicksum([Derslik[j,d,t] for j in Classrooms])\
#+quicksum([ExamVar[i,j,d,t]*j*2 for i in Courses for j in Classrooms for d in Days for t in TimeInterval])\
#+100*quicksum([dev3[s,i1,i2,i3,d] for s in range(len(SchoolX)) for i1 in range(len(SchoolX[s])) for i2 in range(i1+1,len(SchoolX[s])) for i3 in range(i2+1,len(SchoolX[s])) for d in Days ])
)
for d in Days:
   for t in TimeInterval:
      # Constraint Sub.1 Lab dersleri labda
      for i in ClassroomCourses:
         SubModels[(d,t)].addConstr((quicksum(ExamVar[i,j,d,t] for j in LabClassroom)==0), name='demand_%d' % (i))
      for i in LaboratoryCourses:
         SubModels[(d,t)].addConstr((quicksum(ExamVar[i,j,d,t] for j in Classroom)==0), name='demand_%d' % (i))
      # Constraint Sub.2 Connection of X and Y
      for j in Classrooms:   
         SubModels[(d,t)].addConstr((Derslik[j,d,t] &lt;= quicksum(ExamVar[i,j,d,t] for i in Courses)), name='demand_%d' % (i))
         SubModels[(d,t)].addConstr((quicksum(ExamVar[i,j,d,t] for i in Courses) &lt;= 35*Derslik[j,d,t] ), name='demand_%d' % (i))
      # Constraint Sub.3 Connection of X and Z
      for i in ClassroomCourses:
         SubModels[(d,t)].addConstr((quicksum(ExamVar[i,j,d,t] for j in Classroom) &lt;= 11*CourseVar[i,d,t].x), name='demand_%d' % (i))
         SubModels[(d,t)].addConstr((CourseVar[i,d,t].x &lt;= quicksum(ExamVar[i,j,d,t] for j in Classroom)), name='demand_%d' % (i))
      for i in LaboratoryCourses:
         SubModels[(d,t)].addConstr((quicksum(ExamVar[i,j,d,t] for j in LabClassroom) &lt;= 4*CourseVar[i,d,t].x), name='demand_%d' % (i))
         SubModels[(d,t)].addConstr((CourseVar[i,d,t].x &lt;= quicksum(ExamVar[i,j,d,t] for j in LabClassroom)), name='demand_%d' % (i))
            #Constarint Sub.4 Population variable (P) assignment
      for i in Courses:
         SubModels[(d,t)].addConstr((quicksum(Population[i,j,d,t] for j in Classrooms  ) == (capacityofcourses[i,2]*CourseVar[i,d,t].x)), name='demand_%d' % (i))
      #Constraint Sub.4.2 Connection of X and P
      for j in Classrooms:
         SubModels[(d,t)].addConstr((quicksum(Population[i,j,d,t] for i in Courses) &lt;= capacityofclass[j,1] ), name='demand_%d' % (i))
         for i in Courses:
            SubModels[(d,t)].addConstr((ExamVar[i,j,d,t] &lt;= Population[i,j,d,t]), name='demand_%d' % (i))
            SubModels[(d,t)].addConstr((Population[i,j,d,t] &lt;= ExamVar[i,j,d,t]*capacityofclass[j,1]), name='demand_%d' % (i))
for d in Days:
   for t in TimeInterval:
      SubModels[(d,t)].optimize()
NumberOfOptimals = 0      
for d in Days:
   for t in TimeInterval:
      if SubModels[(d,t)].status == GRB.status.OPTIMAL:
         NumberOfOptimals += 1
         print(d,t,"Optimal")
print("NumberOfOptimals",NumberOfOptimals)
#we print in a one table 
for d in Days:
   for t in TimeInterval:
      TempStr = ''
      TempClass = ''
      for j in Classrooms:
         Temp = 0
         TempClass =""
         for i in Courses:
            if ExamVar[i,j,d,t].x&gt;0:
               TempClass = TempClass + "   " + CourseName[1,i] +" " + str(round(Population[i,j,d,t].x))+ "\n"
               Temp = ExamVar[i,j,d,t].x + Temp
         if Temp &gt; 0.01:
            TempStr = TempStr +ClassList[j,0] + "\n" + TempClass + "\n"
      #print(TempStr)
      LastTable[t,d] = TempStr
for d in Days:
   for t in TimeInterval:
      TempStr = ''
      for i in Courses:
         if ExamVar[i,1,d,t].x &gt; 0.0001:
            TempStr = TempStr + CourseName[1,i] + "\n"
      Z03TABLE[d,t] = TempStr
      TempStr = ''
      for i in Courses:
         if ExamVar[i,2,d,t].x &gt; 0.0001 :
            TempStr = TempStr + CourseName[1,i] + "\n"
      Z04TABLE[d,t] = TempStr
      TempStr = ''
      for i in Courses:
         if ExamVar[i,3,d,t].x &gt; 0.0001 :
            TempStr = TempStr + CourseName[1,i] + "\n"
      Z05TABLE[d,t] = TempStr
      TempStr = ''
      for i in Courses:
         if ExamVar[i,4,d,t].x &gt; 0.0001 :
            TempStr = TempStr + CourseName[1,i] + "\n"
      Z06TABLE[d,t] = TempStr
      TempStr = ''
      for i in Courses:
         if ExamVar[i,5,d,t].x &gt; 0.0001 :
            TempStr = TempStr + CourseName[1,i] + "\n"
      Z07TABLE[d,t] = TempStr
      TempStr = ''
      for i in Courses:
         if ExamVar[i,6,d,t].x &gt; 0.0001 :
            TempStr = TempStr + CourseName[1,i] + "\n"
      A102TABLE[d,t] = TempStr
      TempStr = ''
      for i in Courses:
         if ExamVar[i,7,d,t].x &gt; 0.0001 :
            TempStr = TempStr + CourseName[1,i] + "\n"
      A103TABLE[d,t] = TempStr
      TempStr = ''
      for i in Courses:
         if ExamVar[i,8,d,t].x &gt; 0.0001 :
            TempStr = TempStr + CourseName[1,i] + "\n"
      A104TABLE[d,t] = TempStr
      TempStr = ''
      for i in Courses:
         if ExamVar[i,9,d,t].x &gt; 0.0001 :
            TempStr = TempStr + CourseName[1,i] + "\n"
      A105TABLE[d,t] = TempStr
      TempStr = ''
      for i in Courses:
         if ExamVar[i,10,d,t].x &gt; 0.0001:
            TempStr = TempStr + CourseName[1,i] + "\n"
      A106TABLE[d,t] = TempStr
      TempStr = ''
      for i in Courses:
         if ExamVar[i,11,d,t].x &gt; 0.0001 :
            TempStr = TempStr + CourseName[1,i] + "\n"
      A107TABLE[d,t] = TempStr
      TempStr = ''
      for i in Courses:
         if ExamVar[i,12,d,t].x &gt; 0.0001 :
            TempStr = TempStr + CourseName[1,i] + "\n"
      LAB1TABLE[d,t] = TempStr
      TempStr = ''
      for i in Courses:
         if ExamVar[i,13,d,t].x &gt; 0.0001 :
            TempStr = TempStr + CourseName[1,i] + "\n"
      LAB2TABLE[d,t] = TempStr
      TempStr = ''
      for i in Courses:
         if ExamVar[i,14,d,t].x &gt; 0.0001 :
            TempStr = TempStr + CourseName[1,i] + "\n"
      LAB3TABLE[d,t] = TempStr
      TempStr = ''
      for i in Courses:
         if ExamVar[i,15,d,t].x &gt; 0.0001 :
            TempStr = TempStr + CourseName[1,i] + "\n"
      LAB4TABLE[d,t] = TempStr</FileText>
      <ParentWorksheetName>input</ParentWorksheetName>
    </StoredFile>
    <StoredFile>
      <FileName>Untitled</FileName>
      <LanguageName>PuLP</LanguageName>
      <ModelPaneVisible>false</ModelPaneVisible>
      <ModelSettings/>
      <FileText/>
      <ParentWorksheetName>output</ParentWorksheetName>
    </StoredFile>
    <StoredFile>
      <FileName>Untitled</FileName>
      <LanguageName>PuLP</LanguageName>
      <ModelPaneVisible>false</ModelPaneVisible>
      <ModelSettings/>
      <FileText/>
      <ParentWorksheetName>*</ParentWorksheetName>
    </StoredFile>
    <StoredFile>
      <FileName>Untitled</FileName>
      <LanguageName>PuLP</LanguageName>
      <ModelPaneVisible>false</ModelPaneVisible>
      <ModelSettings/>
      <FileText/>
      <ParentWorksheetName>*</ParentWorksheetName>
    </StoredFile>
    <StoredFile>
      <FileName>Untitled</FileName>
      <LanguageName>PuLP</LanguageName>
      <ModelPaneVisible>false</ModelPaneVisible>
      <ModelSettings/>
      <FileText/>
      <ParentWorksheetName>*</ParentWorksheetName>
    </StoredFile>
    <StoredFile>
      <FileName>Untitled</FileName>
      <LanguageName>PuLP</LanguageName>
      <ModelPaneVisible>false</ModelPaneVisible>
      <ModelSettings/>
      <FileText/>
      <ParentWorksheetName>*</ParentWorksheetName>
    </StoredFile>
    <StoredFile>
      <FileName>Untitled</FileName>
      <LanguageName>PuLP</LanguageName>
      <ModelPaneVisible>false</ModelPaneVisible>
      <ModelSettings/>
      <FileText/>
      <ParentWorksheetName>*</ParentWorksheetName>
    </StoredFile>
    <StoredFile>
      <FileName>Untitled</FileName>
      <LanguageName>PuLP</LanguageName>
      <ModelPaneVisible>false</ModelPaneVisible>
      <ModelSettings/>
      <FileText/>
      <ParentWorksheetName>*</ParentWorksheetName>
    </StoredFile>
    <StoredFile>
      <FileName>Untitled</FileName>
      <LanguageName>PuLP</LanguageName>
      <ModelPaneVisible>false</ModelPaneVisible>
      <ModelSettings/>
      <FileText/>
      <ParentWorksheetName>*</ParentWorksheetName>
    </StoredFile>
    <StoredFile>
      <FileName>Untitled</FileName>
      <LanguageName>PuLP</LanguageName>
      <ModelPaneVisible>false</ModelPaneVisible>
      <ModelSettings/>
      <FileText/>
      <ParentWorksheetName>*</ParentWorksheetName>
    </StoredFile>
    <StoredFile>
      <FileName>Untitled</FileName>
      <LanguageName>PuLP</LanguageName>
      <ModelPaneVisible>false</ModelPaneVisible>
      <ModelSettings/>
      <FileText/>
      <ParentWorksheetName>*</ParentWorksheetName>
    </StoredFile>
    <StoredFile>
      <FileName>Untitled</FileName>
      <LanguageName>PuLP</LanguageName>
      <ModelPaneVisible>false</ModelPaneVisible>
      <ModelSettings/>
      <FileText/>
      <ParentWorksheetName>*</ParentWorksheetName>
    </StoredFile>
    <StoredFile>
      <FileName>Untitled</FileName>
      <LanguageName>PuLP</LanguageName>
      <ModelPaneVisible>false</ModelPaneVisible>
      <ModelSettings/>
      <FileText/>
      <ParentWorksheetName>sınav programı</ParentWorksheetName>
    </StoredFile>
    <StoredFile>
      <FileName>Untitled</FileName>
      <LanguageName>PuLP</LanguageName>
      <ModelPaneVisible>false</ModelPaneVisible>
      <ModelSettings/>
      <FileText/>
      <ParentWorksheetName>output2</ParentWorksheetName>
    </StoredFile>
    <StoredFile>
      <FileName>Untitled</FileName>
      <LanguageName>GurobiPython</LanguageName>
      <ModelPaneVisible>true</ModelPaneVisible>
      <ModelSettings/>
      <FileText>#assistant assignmnet
#19.01.2020
import os, sys
from gurobipy import * 
from SolverStudio import *
m = Model("IU_AssistantScheduling")
#variable definition
AssignVar = {}
for i in Asistants:
   for j in Classroom:
      for d in Days:
         for t in TimeInterval:
            AssignVar[i,j,d,t] = m.addVar(obj=100, vtype=GRB.BINARY, name = '%d.%d.%d.%d' % (i,j,d,t))
DevVar1 = {}
DevVar2 = {}
for i in Asistants:
   for j in Classroom:
      for d in Days:
         for t in TimeInterval:
            DevVar1[i,j,d,t] = m.addVar(obj=100, vtype=GRB.BINARY, name = '%d.%d.%d.%d' % (i,j,d,t))
            DevVar2[i,j,d,t] = m.addVar(obj=100, vtype=GRB.BINARY, name = '%d.%d.%d.%d' % (i,j,d,t))
Dev1 = {}
for r in InstructorCourseIndex:
   Dev1[r]= m.addVar(obj=100, vtype=GRB.CONTINUOUS, ub = 1, name = '%d.%d.%d.%d' % (i,j,d,t))
m.update()
#objective function should be here
m.setObjective(quicksum([DevVar1[i,j,d,t]*10 for i in Asistants for  j in Classroom for d in Days for t in TimeInterval])\
+quicksum([DevVar2[i,j,d,t]*10 for i in Asistants for  j in Classroom for d in Days for t in TimeInterval])\
)
m.modelSense = GRB.MINIMIZE
###### Constraints ######
#Constraint 1
# two asistants should be in the exam
for d in Days:
   for t in TimeInterval:
      if Z03[t,d] &gt; 0:
         m.addConstr((quicksum(AssignVar[i,1,d,t] for i in Asistants) == 2), name='demand_%d' % (i))
      if Z04[t,d] &gt; 0:
         m.addConstr((quicksum(AssignVar[i,2,d,t] for i in Asistants) == 2), name='demand_%d' % (i))
      if Z05[t,d] &gt; 0:
         m.addConstr((quicksum(AssignVar[i,3,d,t] for i in Asistants) == 2), name='demand_%d' % (i))
      if Z06[t,d] &gt; 0:
         m.addConstr((quicksum(AssignVar[i,4,d,t] for i in Asistants) == 2), name='demand_%d' % (i))
      if Z07[t,d] &gt; 0:
         m.addConstr((quicksum(AssignVar[i,5,d,t] for i in Asistants) == 2), name='demand_%d' % (i))
      if A102[t,d] &gt; 0:
         m.addConstr((quicksum(AssignVar[i,6,d,t] for i in Asistants) == 2), name='demand_%d' % (i))
      if A103[t,d] &gt; 0:
         m.addConstr((quicksum(AssignVar[i,7,d,t] for i in Asistants) == 2), name='demand_%d' % (i))
      if A104[t,d] &gt; 0:
         m.addConstr((quicksum(AssignVar[i,8,d,t] for i in Asistants) == 2), name='demand_%d' % (i))
      if A105[t,d] &gt; 0:
         m.addConstr((quicksum(AssignVar[i,9,d,t] for i in Asistants) == 2), name='demand_%d' % (i))
      if A106[t,d] &gt; 0:
         m.addConstr((quicksum(AssignVar[i,10,d,t] for i in Asistants) == 2), name='demand_%d' % (i))
      if A107[t,d] &gt; 0:
         m.addConstr((quicksum(AssignVar[i,11,d,t] for i in Asistants) == 2), name='demand_%d' % (i))
      if LAB1[t,d] &gt; 0:
         m.addConstr((quicksum(AssignVar[i,12,d,t] for i in Asistants) == 2), name='demand_%d' % (i))
      if LAB2[t,d] &gt; 0:
         m.addConstr((quicksum(AssignVar[i,13,d,t] for i in Asistants) == 2), name='demand_%d' % (i))
      if LAB3[t,d] &gt; 0:
         m.addConstr((quicksum(AssignVar[i,14,d,t] for i in Asistants) == 2), name='demand_%d' % (i))
      if LAB4[t,d] &gt; 0:
         m.addConstr((quicksum(AssignVar[i,15,d,t] for i in Asistants) == 2), name='demand_%d' % (i))
# every asistant should be one classroom at specific time
for i in Asistants:
   for d in Days:
      for t in TimeInterval:
         m.addConstr((quicksum(AssignVar[i,j,d,t] for j in Classroom) &lt;= 1), name='demand_%d' % (i))
#total assignments
for i in Asistants:
   m.addConstr((quicksum(AssignVar[i,j,d,t] for j in Classroom for d in Days for t in TimeInterval) &lt;= TotalAssignment[i,3]), name='demand_%d' % (i))
# undesired days
for i in Asistants:
   for d in Days:
      if (UndesiredDays[i,d] == 1):
         m.addConstr((quicksum(AssignVar[i,j,d,t] for j in Classroom for t in TimeInterval) == 0), name='demand_%d' % (i))
Senior = ()
Junior = ()
for i in Asistants:
   if Seniority[i,2] == 1 :
      Junior = Junior + (i,)
   elif Seniority[i,2] == 2:
      Senior = Senior + (i,)
'''
#print Senior
#print Junior
#if the asistan is senior, then it should not be be consecutive exams
for i in Senior:
   for d in Days:
      for t in TimeInterval:
         if (t+1) in TimeInterval:
            m.addConstr((AssignVar[i,j,d,t] + AssignVar[i,j,d,t+1] &lt;= 1 + DevVar1[i,j,d,t] + DevVar2[i,j,d,t+1]), name='demand_%d' % (i))
#m.addConstr((AssignVar[1,1,4,2] == 1), name='demand_%d' % (i))
'''
#02.02.2020
# bu kisit icin tekrar degisken tanimlayacagim
#bu kisitin en kolay yolu modeli sayisal olarak da yazdirip buradaki dgerleri oradan okumak
#gozetmenin o saatte orada olmasi guzel olur.
for r in InstructorCourseIndex:
   m.addConstr((quicksum(AssignVar[InstructorCourse[r,1],j,ExamOutput[InstructorCourse[r,2],1],ExamOutput[InstructorCourse[r,2],2]] for j in Classroom) &lt;= 1 - Dev1[r]), name='demand_%d' % (i))
'''
# bu kisit icin tekrar degisken tanimlayacagim
#bu kisitin en kolay yolu modeli sayisal olarak da yazdirip buradaki dgerleri oradan okumak
for r in InstructorCourseIndex:
   m.addConstr((AssignVar[InstructorCourse[r,1],1,ExamOutput[InstructorCourse[r,2],1],ExamOutput[InstructorCourse[r,2],2]] == 1), name='demand_%d' % (i))
#ustteki kisitin uzun versiyonu
for r in InstructorCourseIndex:
   for k in ExamOutputIndex:
      if InstructorCourse[r,2] == k:
         m.addConstr((AssignVar[InstructorCourse[r,1],1,ExamOutput[k,1],ExamOutput[k,2]] == 1), name='demand_%d' % (i))
         print (InstructorCourse[r,2], k, ExamOutput[k,1],ExamOutput[k,2]) 
#instructor-course match
#01.02.2020
for d in Days:
   for t in TimeInterval:
      for i in Asistants:
         print ("Ebru", "burayi yazdirabiliyorum")
         for r in InstructorCourseIndex:
            if (Z03[t,d] == CourseName[91,1]) and (InstructorCourse[r,1] == i):
               #CourseName[InstructorCourse[r,2],1]
               #print ("Ebru", Z03[t,d],CourseName[InstructorCourse[r,2],1],InstructorCourse[r,1])
               m.addConstr((AssignVar[i,1,d,t]  == 1), name='demand_%d' % (i))
for r in InstructorCourseIndex:
   for i in Asistants:
      if (InstructorCourse[r,1] == i):
         print ("Ebru", InstructorCourse[r,1],i)
         for d in Days:
            for t in TimeInterval:
               print ("ebru",Z03[t,d])
               if (Z03[t,d] == CourseName[InstructorCourse[r,2],1]):
                  print ("Ebru", Z03[t,d],CourseName[InstructorCourse[r,2],1],InstructorCourse[r,1])
                  m.addConstr((AssignVar[i,1,d,t]  == 1), name='demand_%d' % (i))
'''
def printSolution():
   if m.status == GRB.status.OPTIMAL:
        print '\n  SolverResult:', m.objVal
        print '\n  AssignVar:'
        for i in Asistants:
            for j in Classroom:
               for d in Days:
                 for t in TimeInterval:
                     if AssignVar[i,j,d,t].x &gt; 0.01:
                         print 'X(%d.%d.%d.%d)' % (i,j,d,t), AssignVar[i,j,d,t].x
                         print (i,len(str(AssignVar[i,j,d,t].x)))
                     AssignVar[i,j,d,t]=AssignVar[i,j,d,t].x
   else:
        print 'No solution'
m.Params.timeLimit = 3600.0
m.Params.MIPGAP = 0.001
m.optimize()
printSolution()
#class1
for d in Days:
   for t in TimeInterval:
      TempStr = ''
      for i in Asistants:
         if AssignVar[i,1,d,t] &gt; 0.0001:
            TempStr = TempStr + AsistantsName[i,1] + "\n"
      AsistantZ03[t,d] = TempStr
#class2
for d in Days:
   for t in TimeInterval:
      TempStr = ''
      for i in Asistants:
         if AssignVar[i,2,d,t] &gt; 0.0001:
            TempStr = TempStr + AsistantsName[i,1] + "\n"
      AsistantZ04[t,d] = TempStr
#class3
for d in Days:
   for t in TimeInterval:
      TempStr = ''
      for i in Asistants:
         if AssignVar[i,3,d,t] &gt; 0.0001:
            TempStr = TempStr + AsistantsName[i,1] + "\n"
      AsistantZ05[t,d] = TempStr
#class4
for d in Days:
   for t in TimeInterval:
      TempStr = ''
      for i in Asistants:
         if AssignVar[i,4,d,t] &gt; 0.0001:
            TempStr = TempStr + AsistantsName[i,1] + "\n"
      AsistantZ06[t,d] = TempStr
#class5
for d in Days:
   for t in TimeInterval:
      TempStr = ''
      for i in Asistants:
         if AssignVar[i,5,d,t] &gt; 0.0001:
            TempStr = TempStr + AsistantsName[i,1] + "\n"
      AsistantZ07[t,d] = TempStr
#class6
for d in Days:
   for t in TimeInterval:
      TempStr = ''
      for i in Asistants:
         if AssignVar[i,6,d,t] &gt; 0.0001:
            TempStr = TempStr + AsistantsName[i,1] + "\n"
      AsistantA102[t,d] = TempStr      
#class7
for d in Days:
   for t in TimeInterval:
      TempStr = ''
      for i in Asistants:
         if AssignVar[i,7,d,t] &gt; 0.0001:
            TempStr = TempStr + AsistantsName[i,1] + "\n"
      AsistantA103[t,d] = TempStr      
#class8
for d in Days:
   for t in TimeInterval:
      TempStr = ''
      for i in Asistants:
         if AssignVar[i,8,d,t] &gt; 0.0001:
            TempStr = TempStr + AsistantsName[i,1] + "\n"
      AsistantA104[t,d] = TempStr      
#class9
for d in Days:
   for t in TimeInterval:
      TempStr = ''
      for i in Asistants:
         if AssignVar[i,9,d,t] &gt; 0.0001:
            TempStr = TempStr + AsistantsName[i,1] + "\n"
      AsistantA105[t,d] = TempStr      
#class10
for d in Days:
   for t in TimeInterval:
      TempStr = ''
      for i in Asistants:
         if AssignVar[i,10,d,t] &gt; 0.0001:
            TempStr = TempStr + AsistantsName[i,1] + "\n"
      AsistantA106[t,d] = TempStr      
#class11
for d in Days:
   for t in TimeInterval:
      TempStr = ''
      for i in Asistants:
         if AssignVar[i,11,d,t] &gt; 0.0001:
            TempStr = TempStr + AsistantsName[i,1] + "\n"
      AsistantA107[t,d] = TempStr      
#class12
for d in Days:
   for t in TimeInterval:
      TempStr = ''
      for i in Asistants:
         if AssignVar[i,12,d,t] &gt; 0.0001:
            TempStr = TempStr + AsistantsName[i,1] + "\n"
      AsistantLab1[t,d] = TempStr      
#class13
for d in Days:
   for t in TimeInterval:
      TempStr = ''
      for i in Asistants:
         if AssignVar[i,13,d,t] &gt; 0.0001:
            TempStr = TempStr + AsistantsName[i,1] + "\n"
      AsistantLab2[t,d] = TempStr  
#class14
for d in Days:
   for t in TimeInterval:
      TempStr = ''
      for i in Asistants:
         if AssignVar[i,14,d,t] &gt; 0.0001:
            TempStr = TempStr + AsistantsName[i,1] + "\n"
      AsistantLab3[t,d] = TempStr      
#class15
for d in Days:
   for t in TimeInterval:
      TempStr = ''
      for i in Asistants:
         if AssignVar[i,15,d,t] &gt; 0.0001:
            TempStr = TempStr + AsistantsName[i,1] + "\n"
      AsistantLab4[t,d] = TempStr  
#we print in a one table 
for d in Days:
   for t in TimeInterval:
      TempStr = ''
      TempClass = ''
      for j in Classroom:
         Temp = 0
         TempClass =""
         for i in Asistants:
            #print (i,j,d,t, AssignVar[i,j,d,t])
            if AssignVar[i,j,d,t] &gt;0.01:
               TempClass = TempClass  + "   "  + AsistantsName[i,1] +"\n" 
               Temp = AssignVar[i,j,d,t] + Temp
         #print("TEMP",Temp)
         if Temp &gt; 0.01:
            TempStr = TempStr + ClassroomName[j,1] + "\n" + TempClass + "\n"
      #print(TempStr)
      GozetmenToplu[t,d] = TempStr
</FileText>
      <ParentWorksheetName>asistan</ParentWorksheetName>
    </StoredFile>
    <StoredFile>
      <FileName>Untitled</FileName>
      <LanguageName>PuLP</LanguageName>
      <ModelPaneVisible>false</ModelPaneVisible>
      <ModelSettings/>
      <FileText/>
      <ParentWorksheetName>Sheet1</ParentWorksheetName>
    </StoredFile>
    <StoredFile>
      <FileName>Untitled</FileName>
      <LanguageName>PuLP</LanguageName>
      <ModelPaneVisible>false</ModelPaneVisible>
      <ModelSettings/>
      <FileText/>
      <ParentWorksheetName>Last</ParentWorksheetName>
    </StoredFile>
    <StoredFile>
      <FileName>Untitled</FileName>
      <LanguageName>PuLP</LanguageName>
      <ModelPaneVisible>false</ModelPaneVisible>
      <ModelSettings/>
      <FileText/>
      <ParentWorksheetName>Sheet2</ParentWorksheetName>
    </StoredFile>
  </StoredFiles>
</StoredFilesList>
</file>

<file path=customXml/itemProps1.xml><?xml version="1.0" encoding="utf-8"?>
<ds:datastoreItem xmlns:ds="http://schemas.openxmlformats.org/officeDocument/2006/customXml" ds:itemID="{2D4BF67B-E071-4E10-98C5-C8FD8F4F2025}">
  <ds:schemaRefs>
    <ds:schemaRef ds:uri="http://www.w3.org/2001/XMLSchema"/>
    <ds:schemaRef ds:uri="http://opensolver.org"/>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165</vt:i4>
      </vt:variant>
    </vt:vector>
  </HeadingPairs>
  <TitlesOfParts>
    <vt:vector size="173" baseType="lpstr">
      <vt:lpstr>input</vt:lpstr>
      <vt:lpstr>Last</vt:lpstr>
      <vt:lpstr>output</vt:lpstr>
      <vt:lpstr>output2</vt:lpstr>
      <vt:lpstr>asistan</vt:lpstr>
      <vt:lpstr>Sheet1</vt:lpstr>
      <vt:lpstr>Sheet2</vt:lpstr>
      <vt:lpstr>sınav programı</vt:lpstr>
      <vt:lpstr>asistan!A102.</vt:lpstr>
      <vt:lpstr>input!A102DAYS</vt:lpstr>
      <vt:lpstr>input!A102TABLE</vt:lpstr>
      <vt:lpstr>input!A102TIMEINTERVAL</vt:lpstr>
      <vt:lpstr>asistan!A103.</vt:lpstr>
      <vt:lpstr>input!A103DAYS</vt:lpstr>
      <vt:lpstr>input!A103TABLE</vt:lpstr>
      <vt:lpstr>input!A103TIMEINTERVAL</vt:lpstr>
      <vt:lpstr>asistan!A104.</vt:lpstr>
      <vt:lpstr>input!A104DAYS</vt:lpstr>
      <vt:lpstr>input!A104TABLE</vt:lpstr>
      <vt:lpstr>input!A104TIMEINTERVAL</vt:lpstr>
      <vt:lpstr>asistan!A105.</vt:lpstr>
      <vt:lpstr>input!A105DAYS</vt:lpstr>
      <vt:lpstr>input!A105TABLE</vt:lpstr>
      <vt:lpstr>input!A105TIMEINTERVAL</vt:lpstr>
      <vt:lpstr>asistan!A106.</vt:lpstr>
      <vt:lpstr>input!A106DAYS</vt:lpstr>
      <vt:lpstr>input!A106TABLE</vt:lpstr>
      <vt:lpstr>input!A106TIMEINTERVAL</vt:lpstr>
      <vt:lpstr>asistan!A107.</vt:lpstr>
      <vt:lpstr>input!A107DAYS</vt:lpstr>
      <vt:lpstr>input!A107TABLE</vt:lpstr>
      <vt:lpstr>input!A107TIMEINTERVAL</vt:lpstr>
      <vt:lpstr>asistan!AsistantA102</vt:lpstr>
      <vt:lpstr>asistan!AsistantA103</vt:lpstr>
      <vt:lpstr>asistan!AsistantA104</vt:lpstr>
      <vt:lpstr>asistan!AsistantA105</vt:lpstr>
      <vt:lpstr>asistan!AsistantA106</vt:lpstr>
      <vt:lpstr>asistan!AsistantA107</vt:lpstr>
      <vt:lpstr>asistan!AsistantLab1</vt:lpstr>
      <vt:lpstr>asistan!AsistantLab2</vt:lpstr>
      <vt:lpstr>asistan!AsistantLab3</vt:lpstr>
      <vt:lpstr>asistan!AsistantLab4</vt:lpstr>
      <vt:lpstr>asistan!Asistants</vt:lpstr>
      <vt:lpstr>asistan!AsistantsName</vt:lpstr>
      <vt:lpstr>asistan!AsistantsSeniority</vt:lpstr>
      <vt:lpstr>asistan!AsistantZ03</vt:lpstr>
      <vt:lpstr>asistan!AsistantZ04</vt:lpstr>
      <vt:lpstr>asistan!AsistantZ05</vt:lpstr>
      <vt:lpstr>asistan!AsistantZ06</vt:lpstr>
      <vt:lpstr>asistan!AsistantZ07</vt:lpstr>
      <vt:lpstr>input!BANKA1</vt:lpstr>
      <vt:lpstr>input!BANKA2</vt:lpstr>
      <vt:lpstr>input!capacityofclass</vt:lpstr>
      <vt:lpstr>input!capacityofcourses</vt:lpstr>
      <vt:lpstr>input!ClassList</vt:lpstr>
      <vt:lpstr>asistan!Classroom</vt:lpstr>
      <vt:lpstr>input!Classroom</vt:lpstr>
      <vt:lpstr>asistan!ClassroomName</vt:lpstr>
      <vt:lpstr>input!Classrooms</vt:lpstr>
      <vt:lpstr>input!cost1</vt:lpstr>
      <vt:lpstr>input!cost10</vt:lpstr>
      <vt:lpstr>input!cost11</vt:lpstr>
      <vt:lpstr>input!cost12</vt:lpstr>
      <vt:lpstr>input!cost13</vt:lpstr>
      <vt:lpstr>input!cost14</vt:lpstr>
      <vt:lpstr>input!cost2</vt:lpstr>
      <vt:lpstr>input!cost3</vt:lpstr>
      <vt:lpstr>input!cost4</vt:lpstr>
      <vt:lpstr>input!cost5</vt:lpstr>
      <vt:lpstr>input!cost6</vt:lpstr>
      <vt:lpstr>input!cost7</vt:lpstr>
      <vt:lpstr>input!cost8</vt:lpstr>
      <vt:lpstr>input!cost9</vt:lpstr>
      <vt:lpstr>input!CourseFeature</vt:lpstr>
      <vt:lpstr>asistan!CourseHour</vt:lpstr>
      <vt:lpstr>asistan!CourseName</vt:lpstr>
      <vt:lpstr>input!CourseName</vt:lpstr>
      <vt:lpstr>asistan!Courses</vt:lpstr>
      <vt:lpstr>input!Courses</vt:lpstr>
      <vt:lpstr>asistan!Days</vt:lpstr>
      <vt:lpstr>input!Days</vt:lpstr>
      <vt:lpstr>asistan!DesiredDays</vt:lpstr>
      <vt:lpstr>input!DISTICARET1</vt:lpstr>
      <vt:lpstr>input!DISTICARET2</vt:lpstr>
      <vt:lpstr>input!EMLAK1</vt:lpstr>
      <vt:lpstr>input!EMLAK2</vt:lpstr>
      <vt:lpstr>asistan!Exam</vt:lpstr>
      <vt:lpstr>asistan!ExamIndex</vt:lpstr>
      <vt:lpstr>asistan!ExamOutput</vt:lpstr>
      <vt:lpstr>input!ExamOutput</vt:lpstr>
      <vt:lpstr>asistan!ExamOutputIndex</vt:lpstr>
      <vt:lpstr>input!Exception</vt:lpstr>
      <vt:lpstr>input!ExceptionArray1</vt:lpstr>
      <vt:lpstr>input!ExceptionArray2</vt:lpstr>
      <vt:lpstr>input!ExceptionIndex</vt:lpstr>
      <vt:lpstr>asistan!GozetmenToplu</vt:lpstr>
      <vt:lpstr>asistan!InstructorCourse</vt:lpstr>
      <vt:lpstr>asistan!InstructorCourseIndex</vt:lpstr>
      <vt:lpstr>input!ISLETME1</vt:lpstr>
      <vt:lpstr>input!ISLETME2</vt:lpstr>
      <vt:lpstr>input!JointCourseList</vt:lpstr>
      <vt:lpstr>input!JointCourseListIndex</vt:lpstr>
      <vt:lpstr>asistan!LAB1.</vt:lpstr>
      <vt:lpstr>input!LAB1DAYS</vt:lpstr>
      <vt:lpstr>input!LAB1TABLE</vt:lpstr>
      <vt:lpstr>input!LAB1TIMEINTERVAL</vt:lpstr>
      <vt:lpstr>asistan!LAB2.</vt:lpstr>
      <vt:lpstr>input!LAB2DAYS</vt:lpstr>
      <vt:lpstr>input!LAB2TABLE</vt:lpstr>
      <vt:lpstr>input!LAB2TIMEINTERVAL</vt:lpstr>
      <vt:lpstr>asistan!LAB3.</vt:lpstr>
      <vt:lpstr>input!LAB3DAYS</vt:lpstr>
      <vt:lpstr>input!LAB3TABLE</vt:lpstr>
      <vt:lpstr>input!LAB3TIMEINTERVAL</vt:lpstr>
      <vt:lpstr>asistan!LAB4.</vt:lpstr>
      <vt:lpstr>input!LAB4DAYS</vt:lpstr>
      <vt:lpstr>input!LAB4TABLE</vt:lpstr>
      <vt:lpstr>input!LAB4TIMEINTERVAL</vt:lpstr>
      <vt:lpstr>input!LabClassroom</vt:lpstr>
      <vt:lpstr>input!LastTable</vt:lpstr>
      <vt:lpstr>input!MUHASEBE1</vt:lpstr>
      <vt:lpstr>input!MUHASEBE2</vt:lpstr>
      <vt:lpstr>input!OUTPUTBANKA1</vt:lpstr>
      <vt:lpstr>input!OUTPUTBANKA2</vt:lpstr>
      <vt:lpstr>input!OUTPUTDIS1</vt:lpstr>
      <vt:lpstr>input!OUTPUTDIS2</vt:lpstr>
      <vt:lpstr>input!OUTPUTEMLAK1</vt:lpstr>
      <vt:lpstr>input!OUTPUTEMLAK2</vt:lpstr>
      <vt:lpstr>input!OUTPUTISLETME1</vt:lpstr>
      <vt:lpstr>input!OUTPUTISLETME2</vt:lpstr>
      <vt:lpstr>input!OUTPUTMUHASEBE1</vt:lpstr>
      <vt:lpstr>input!OUTPUTMUHASEBE2</vt:lpstr>
      <vt:lpstr>input!OUTPUTPAZARLAMA1</vt:lpstr>
      <vt:lpstr>input!OUTPUTPAZARLAMA2</vt:lpstr>
      <vt:lpstr>input!OUTPUTTURIZM1</vt:lpstr>
      <vt:lpstr>input!OUTPUTTURIZM2</vt:lpstr>
      <vt:lpstr>input!PAZARLAMA1</vt:lpstr>
      <vt:lpstr>input!PAZARLAMA2</vt:lpstr>
      <vt:lpstr>input!Print_Area</vt:lpstr>
      <vt:lpstr>input!SameTimeCoursesArray1</vt:lpstr>
      <vt:lpstr>input!SameTimeCoursesArray2</vt:lpstr>
      <vt:lpstr>input!SameTimeList</vt:lpstr>
      <vt:lpstr>input!SameTimeListIndex</vt:lpstr>
      <vt:lpstr>input!School</vt:lpstr>
      <vt:lpstr>asistan!Seniority</vt:lpstr>
      <vt:lpstr>asistan!TimeInterval</vt:lpstr>
      <vt:lpstr>input!TimeInterval</vt:lpstr>
      <vt:lpstr>input!TimeInterval2</vt:lpstr>
      <vt:lpstr>asistan!Total</vt:lpstr>
      <vt:lpstr>asistan!TotalAssignment</vt:lpstr>
      <vt:lpstr>input!TURIZM1</vt:lpstr>
      <vt:lpstr>input!TURIZM2</vt:lpstr>
      <vt:lpstr>asistan!UndesiredDays</vt:lpstr>
      <vt:lpstr>asistan!Z03.</vt:lpstr>
      <vt:lpstr>input!Z03DAYS</vt:lpstr>
      <vt:lpstr>input!Z03TABLE</vt:lpstr>
      <vt:lpstr>input!Z03TIMEINTERVAL</vt:lpstr>
      <vt:lpstr>asistan!Z04.</vt:lpstr>
      <vt:lpstr>input!Z04DAYS</vt:lpstr>
      <vt:lpstr>input!Z04TABLE</vt:lpstr>
      <vt:lpstr>input!Z04TIMEINTERVAL</vt:lpstr>
      <vt:lpstr>asistan!Z05.</vt:lpstr>
      <vt:lpstr>input!Z05DAYS</vt:lpstr>
      <vt:lpstr>input!Z05TABLE</vt:lpstr>
      <vt:lpstr>input!Z05TIMEINTERVAL</vt:lpstr>
      <vt:lpstr>asistan!Z06.</vt:lpstr>
      <vt:lpstr>input!Z06DAYS</vt:lpstr>
      <vt:lpstr>input!Z06TABLE</vt:lpstr>
      <vt:lpstr>input!Z06TIMEINTERVAL</vt:lpstr>
      <vt:lpstr>asistan!Z07.</vt:lpstr>
      <vt:lpstr>input!Z07DAYS</vt:lpstr>
      <vt:lpstr>input!Z07TABLE</vt:lpstr>
      <vt:lpstr>input!Z07TIMEINTERVAL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Buğra</dc:creator>
  <cp:lastModifiedBy>User</cp:lastModifiedBy>
  <cp:lastPrinted>2018-12-20T19:41:03Z</cp:lastPrinted>
  <dcterms:created xsi:type="dcterms:W3CDTF">2018-07-14T13:33:13Z</dcterms:created>
  <dcterms:modified xsi:type="dcterms:W3CDTF">2020-05-04T20:49:13Z</dcterms:modified>
</cp:coreProperties>
</file>